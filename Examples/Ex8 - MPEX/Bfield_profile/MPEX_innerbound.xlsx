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9u/Desktop/"/>
    </mc:Choice>
  </mc:AlternateContent>
  <xr:revisionPtr revIDLastSave="0" documentId="13_ncr:1_{1045E5BB-F0FD-D64D-8C65-A4C1DC03D89B}" xr6:coauthVersionLast="47" xr6:coauthVersionMax="47" xr10:uidLastSave="{00000000-0000-0000-0000-000000000000}"/>
  <bookViews>
    <workbookView xWindow="3520" yWindow="780" windowWidth="28040" windowHeight="21960" xr2:uid="{184A3EC1-1290-B445-B47E-4BA2A81F1C2D}"/>
  </bookViews>
  <sheets>
    <sheet name="Sheet1" sheetId="1" r:id="rId1"/>
  </sheets>
  <definedNames>
    <definedName name="_xlchart.v1.0" hidden="1">Sheet1!$A$1</definedName>
    <definedName name="_xlchart.v1.1" hidden="1">Sheet1!$C$4:$C$18</definedName>
    <definedName name="_xlchart.v1.2" hidden="1">Sheet1!$E$4:$E$18</definedName>
    <definedName name="_xlchart.v1.3" hidden="1">Sheet1!$A$1</definedName>
    <definedName name="_xlchart.v1.4" hidden="1">Sheet1!$C$4:$C$18</definedName>
    <definedName name="_xlchart.v1.5" hidden="1">Sheet1!$E$4:$E$18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1" l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4" i="1"/>
  <c r="B59" i="1"/>
  <c r="D53" i="1"/>
  <c r="D51" i="1"/>
  <c r="B50" i="1"/>
  <c r="D49" i="1"/>
  <c r="B48" i="1"/>
  <c r="D48" i="1"/>
  <c r="B47" i="1"/>
  <c r="B45" i="1"/>
  <c r="D44" i="1"/>
  <c r="B43" i="1"/>
  <c r="B41" i="1"/>
  <c r="D40" i="1"/>
  <c r="B39" i="1"/>
  <c r="D38" i="1"/>
  <c r="B37" i="1"/>
  <c r="D36" i="1"/>
  <c r="B35" i="1"/>
  <c r="B33" i="1"/>
  <c r="D32" i="1"/>
  <c r="B31" i="1"/>
  <c r="D30" i="1"/>
  <c r="B29" i="1"/>
  <c r="D28" i="1"/>
  <c r="B27" i="1"/>
  <c r="D26" i="1"/>
  <c r="B25" i="1"/>
  <c r="D24" i="1"/>
  <c r="B23" i="1"/>
  <c r="D22" i="1"/>
  <c r="B21" i="1"/>
  <c r="D20" i="1"/>
  <c r="D19" i="1"/>
  <c r="B19" i="1"/>
  <c r="D18" i="1"/>
  <c r="B11" i="1"/>
  <c r="B15" i="1"/>
  <c r="D14" i="1"/>
  <c r="B17" i="1"/>
  <c r="D16" i="1"/>
  <c r="B13" i="1"/>
  <c r="D12" i="1"/>
  <c r="D10" i="1"/>
  <c r="B9" i="1"/>
  <c r="D8" i="1"/>
  <c r="B7" i="1"/>
</calcChain>
</file>

<file path=xl/sharedStrings.xml><?xml version="1.0" encoding="utf-8"?>
<sst xmlns="http://schemas.openxmlformats.org/spreadsheetml/2006/main" count="17" uniqueCount="11">
  <si>
    <t>Z</t>
  </si>
  <si>
    <t>in</t>
  </si>
  <si>
    <t>r</t>
  </si>
  <si>
    <t>PNTID</t>
  </si>
  <si>
    <t>4b</t>
  </si>
  <si>
    <t>8b</t>
  </si>
  <si>
    <t>10b</t>
  </si>
  <si>
    <t>MPEX inner bounds</t>
  </si>
  <si>
    <t>target [mm]</t>
  </si>
  <si>
    <t>target assembly shield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</si>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</sst>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MPEX IVC</a:t>
            </a:r>
            <a:r>
              <a:rPr lang="en-US" sz="2000" baseline="0">
                <a:solidFill>
                  <a:schemeClr val="tx1"/>
                </a:solidFill>
              </a:rPr>
              <a:t> boundary</a:t>
            </a:r>
            <a:endParaRPr lang="en-US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MPEX inner bounds</c:v>
                </c:pt>
              </c:strCache>
            </c:strRef>
          </c:tx>
          <c:spPr>
            <a:ln w="412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Sheet1!$C$4:$C$106</c:f>
              <c:numCache>
                <c:formatCode>#,##0.00</c:formatCode>
                <c:ptCount val="103"/>
                <c:pt idx="0">
                  <c:v>-312.99912</c:v>
                </c:pt>
                <c:pt idx="1">
                  <c:v>-190.44412</c:v>
                </c:pt>
                <c:pt idx="2">
                  <c:v>-184.83072000000001</c:v>
                </c:pt>
                <c:pt idx="3">
                  <c:v>-151.17826000000002</c:v>
                </c:pt>
                <c:pt idx="4">
                  <c:v>-151.17826000000002</c:v>
                </c:pt>
                <c:pt idx="5">
                  <c:v>-77.251559999999984</c:v>
                </c:pt>
                <c:pt idx="6">
                  <c:v>-77.251559999999998</c:v>
                </c:pt>
                <c:pt idx="7">
                  <c:v>-44.485560000000007</c:v>
                </c:pt>
                <c:pt idx="8">
                  <c:v>-44.48556</c:v>
                </c:pt>
                <c:pt idx="9">
                  <c:v>-41.640759999999993</c:v>
                </c:pt>
                <c:pt idx="10">
                  <c:v>-41.640759999999993</c:v>
                </c:pt>
                <c:pt idx="11">
                  <c:v>-21.549359999999997</c:v>
                </c:pt>
                <c:pt idx="12">
                  <c:v>-21.54936</c:v>
                </c:pt>
                <c:pt idx="13">
                  <c:v>23.256240000000002</c:v>
                </c:pt>
                <c:pt idx="14">
                  <c:v>22.400259999999999</c:v>
                </c:pt>
                <c:pt idx="15">
                  <c:v>50.010060000000003</c:v>
                </c:pt>
                <c:pt idx="16">
                  <c:v>50.010060000000003</c:v>
                </c:pt>
                <c:pt idx="17">
                  <c:v>82.776060000000001</c:v>
                </c:pt>
                <c:pt idx="18">
                  <c:v>82.776060000000001</c:v>
                </c:pt>
                <c:pt idx="19">
                  <c:v>85.951059999999998</c:v>
                </c:pt>
                <c:pt idx="20">
                  <c:v>85.951059999999998</c:v>
                </c:pt>
                <c:pt idx="21">
                  <c:v>202.05446000000001</c:v>
                </c:pt>
                <c:pt idx="22">
                  <c:v>202.05446000000001</c:v>
                </c:pt>
                <c:pt idx="23">
                  <c:v>252.85446000000002</c:v>
                </c:pt>
                <c:pt idx="24">
                  <c:v>252.85446000000002</c:v>
                </c:pt>
                <c:pt idx="25">
                  <c:v>272.92046000000005</c:v>
                </c:pt>
                <c:pt idx="26">
                  <c:v>272.92045999999999</c:v>
                </c:pt>
                <c:pt idx="27">
                  <c:v>296.99966000000001</c:v>
                </c:pt>
                <c:pt idx="28">
                  <c:v>296.99966000000001</c:v>
                </c:pt>
                <c:pt idx="29">
                  <c:v>312.39206000000001</c:v>
                </c:pt>
                <c:pt idx="30">
                  <c:v>312.39206000000001</c:v>
                </c:pt>
                <c:pt idx="31">
                  <c:v>363.19205999999997</c:v>
                </c:pt>
                <c:pt idx="32">
                  <c:v>363.19205999999997</c:v>
                </c:pt>
                <c:pt idx="33">
                  <c:v>396.84706</c:v>
                </c:pt>
                <c:pt idx="34">
                  <c:v>396.84706</c:v>
                </c:pt>
                <c:pt idx="35">
                  <c:v>475.33305999999999</c:v>
                </c:pt>
                <c:pt idx="36">
                  <c:v>475.33305999999999</c:v>
                </c:pt>
                <c:pt idx="37">
                  <c:v>559.10226</c:v>
                </c:pt>
                <c:pt idx="38">
                  <c:v>559.10226</c:v>
                </c:pt>
                <c:pt idx="39">
                  <c:v>569.26225999999997</c:v>
                </c:pt>
                <c:pt idx="40">
                  <c:v>569.26225999999997</c:v>
                </c:pt>
                <c:pt idx="41">
                  <c:v>615.74426000000005</c:v>
                </c:pt>
                <c:pt idx="42">
                  <c:v>615.74426000000005</c:v>
                </c:pt>
                <c:pt idx="43">
                  <c:v>625.90426000000002</c:v>
                </c:pt>
                <c:pt idx="44">
                  <c:v>638.60425999999995</c:v>
                </c:pt>
                <c:pt idx="45">
                  <c:v>638.60425999999995</c:v>
                </c:pt>
                <c:pt idx="46">
                  <c:v>641.77926000000002</c:v>
                </c:pt>
                <c:pt idx="47">
                  <c:v>641.77926000000002</c:v>
                </c:pt>
                <c:pt idx="48">
                  <c:v>643.00099999999998</c:v>
                </c:pt>
                <c:pt idx="49">
                  <c:v>643.00099999999998</c:v>
                </c:pt>
                <c:pt idx="50">
                  <c:v>782.70099999999991</c:v>
                </c:pt>
                <c:pt idx="51">
                  <c:v>782.70099999999991</c:v>
                </c:pt>
                <c:pt idx="52">
                  <c:v>643.00099999999998</c:v>
                </c:pt>
                <c:pt idx="53">
                  <c:v>643.00099999999998</c:v>
                </c:pt>
                <c:pt idx="54">
                  <c:v>641.77926000000002</c:v>
                </c:pt>
                <c:pt idx="55">
                  <c:v>644.95425999999998</c:v>
                </c:pt>
                <c:pt idx="56">
                  <c:v>638.60425999999995</c:v>
                </c:pt>
                <c:pt idx="57">
                  <c:v>638.60425999999995</c:v>
                </c:pt>
                <c:pt idx="58">
                  <c:v>625.90426000000002</c:v>
                </c:pt>
                <c:pt idx="59">
                  <c:v>615.74426000000005</c:v>
                </c:pt>
                <c:pt idx="60">
                  <c:v>615.74426000000005</c:v>
                </c:pt>
                <c:pt idx="61">
                  <c:v>569.26225999999997</c:v>
                </c:pt>
                <c:pt idx="62">
                  <c:v>569.26225999999997</c:v>
                </c:pt>
                <c:pt idx="63">
                  <c:v>559.10226</c:v>
                </c:pt>
                <c:pt idx="64">
                  <c:v>559.10226</c:v>
                </c:pt>
                <c:pt idx="65">
                  <c:v>475.33305999999999</c:v>
                </c:pt>
                <c:pt idx="66">
                  <c:v>475.33305999999999</c:v>
                </c:pt>
                <c:pt idx="67">
                  <c:v>396.84706</c:v>
                </c:pt>
                <c:pt idx="68">
                  <c:v>396.84706</c:v>
                </c:pt>
                <c:pt idx="69">
                  <c:v>363.19205999999997</c:v>
                </c:pt>
                <c:pt idx="70">
                  <c:v>363.19205999999997</c:v>
                </c:pt>
                <c:pt idx="71">
                  <c:v>312.39206000000001</c:v>
                </c:pt>
                <c:pt idx="72">
                  <c:v>312.39206000000001</c:v>
                </c:pt>
                <c:pt idx="73">
                  <c:v>296.99966000000001</c:v>
                </c:pt>
                <c:pt idx="74">
                  <c:v>296.99966000000001</c:v>
                </c:pt>
                <c:pt idx="75">
                  <c:v>272.92045999999999</c:v>
                </c:pt>
                <c:pt idx="76">
                  <c:v>272.92045999999999</c:v>
                </c:pt>
                <c:pt idx="77">
                  <c:v>252.85446000000002</c:v>
                </c:pt>
                <c:pt idx="78">
                  <c:v>252.85446000000002</c:v>
                </c:pt>
                <c:pt idx="79">
                  <c:v>202.05446000000001</c:v>
                </c:pt>
                <c:pt idx="80">
                  <c:v>202.05446000000001</c:v>
                </c:pt>
                <c:pt idx="81">
                  <c:v>85.951059999999998</c:v>
                </c:pt>
                <c:pt idx="82">
                  <c:v>85.951059999999998</c:v>
                </c:pt>
                <c:pt idx="83">
                  <c:v>82.776060000000001</c:v>
                </c:pt>
                <c:pt idx="84">
                  <c:v>82.776060000000001</c:v>
                </c:pt>
                <c:pt idx="85">
                  <c:v>50.010060000000003</c:v>
                </c:pt>
                <c:pt idx="86">
                  <c:v>50.010060000000003</c:v>
                </c:pt>
                <c:pt idx="87">
                  <c:v>22.400259999999999</c:v>
                </c:pt>
                <c:pt idx="88">
                  <c:v>23.256240000000002</c:v>
                </c:pt>
                <c:pt idx="89">
                  <c:v>-21.54936</c:v>
                </c:pt>
                <c:pt idx="90">
                  <c:v>-21.54936</c:v>
                </c:pt>
                <c:pt idx="91">
                  <c:v>-41.640759999999993</c:v>
                </c:pt>
                <c:pt idx="92">
                  <c:v>-41.640759999999993</c:v>
                </c:pt>
                <c:pt idx="93">
                  <c:v>-44.48556</c:v>
                </c:pt>
                <c:pt idx="94">
                  <c:v>-44.48556</c:v>
                </c:pt>
                <c:pt idx="95">
                  <c:v>-77.251559999999998</c:v>
                </c:pt>
                <c:pt idx="96">
                  <c:v>-77.251559999999998</c:v>
                </c:pt>
                <c:pt idx="97">
                  <c:v>-151.17826000000002</c:v>
                </c:pt>
                <c:pt idx="98">
                  <c:v>-151.17826000000002</c:v>
                </c:pt>
                <c:pt idx="99">
                  <c:v>-184.83072000000001</c:v>
                </c:pt>
                <c:pt idx="100">
                  <c:v>-190.44412</c:v>
                </c:pt>
                <c:pt idx="101">
                  <c:v>-312.99912</c:v>
                </c:pt>
                <c:pt idx="102">
                  <c:v>-312.99912</c:v>
                </c:pt>
              </c:numCache>
            </c:numRef>
          </c:xVal>
          <c:yVal>
            <c:numRef>
              <c:f>Sheet1!$E$4:$E$106</c:f>
              <c:numCache>
                <c:formatCode>#,##0.0</c:formatCode>
                <c:ptCount val="103"/>
                <c:pt idx="0">
                  <c:v>40.005000000000003</c:v>
                </c:pt>
                <c:pt idx="1">
                  <c:v>40.005000000000003</c:v>
                </c:pt>
                <c:pt idx="2">
                  <c:v>8.254999999999999</c:v>
                </c:pt>
                <c:pt idx="3">
                  <c:v>8.254999999999999</c:v>
                </c:pt>
                <c:pt idx="4">
                  <c:v>9.2074999999999996</c:v>
                </c:pt>
                <c:pt idx="5">
                  <c:v>9.2074999999999996</c:v>
                </c:pt>
                <c:pt idx="6">
                  <c:v>24.066499999999998</c:v>
                </c:pt>
                <c:pt idx="7">
                  <c:v>24.066499999999998</c:v>
                </c:pt>
                <c:pt idx="8">
                  <c:v>16.827500000000001</c:v>
                </c:pt>
                <c:pt idx="9">
                  <c:v>16.827500000000001</c:v>
                </c:pt>
                <c:pt idx="10">
                  <c:v>10.058400000000001</c:v>
                </c:pt>
                <c:pt idx="11">
                  <c:v>10.058400000000001</c:v>
                </c:pt>
                <c:pt idx="12">
                  <c:v>6.3118999999999996</c:v>
                </c:pt>
                <c:pt idx="13">
                  <c:v>6.3118999999999996</c:v>
                </c:pt>
                <c:pt idx="14">
                  <c:v>6.2229999999999999</c:v>
                </c:pt>
                <c:pt idx="15">
                  <c:v>5.3085999999999993</c:v>
                </c:pt>
                <c:pt idx="16">
                  <c:v>24.104600000000001</c:v>
                </c:pt>
                <c:pt idx="17">
                  <c:v>24.104600000000001</c:v>
                </c:pt>
                <c:pt idx="18">
                  <c:v>5.3085999999999993</c:v>
                </c:pt>
                <c:pt idx="19">
                  <c:v>5.3085999999999993</c:v>
                </c:pt>
                <c:pt idx="20">
                  <c:v>9.2074999999999996</c:v>
                </c:pt>
                <c:pt idx="21">
                  <c:v>9.2074999999999996</c:v>
                </c:pt>
                <c:pt idx="22">
                  <c:v>11.3665</c:v>
                </c:pt>
                <c:pt idx="23">
                  <c:v>11.3665</c:v>
                </c:pt>
                <c:pt idx="24">
                  <c:v>5.0419</c:v>
                </c:pt>
                <c:pt idx="25">
                  <c:v>5.0419</c:v>
                </c:pt>
                <c:pt idx="26">
                  <c:v>14.605</c:v>
                </c:pt>
                <c:pt idx="27">
                  <c:v>14.605</c:v>
                </c:pt>
                <c:pt idx="28">
                  <c:v>6.0706000000000007</c:v>
                </c:pt>
                <c:pt idx="29">
                  <c:v>6.0706000000000007</c:v>
                </c:pt>
                <c:pt idx="30">
                  <c:v>11.3665</c:v>
                </c:pt>
                <c:pt idx="31">
                  <c:v>11.3665</c:v>
                </c:pt>
                <c:pt idx="32">
                  <c:v>6.7309999999999999</c:v>
                </c:pt>
                <c:pt idx="33">
                  <c:v>6.7309999999999999</c:v>
                </c:pt>
                <c:pt idx="34">
                  <c:v>2.7305000000000001</c:v>
                </c:pt>
                <c:pt idx="35">
                  <c:v>2.7305000000000001</c:v>
                </c:pt>
                <c:pt idx="36">
                  <c:v>9.1821000000000002</c:v>
                </c:pt>
                <c:pt idx="37">
                  <c:v>9.1821000000000002</c:v>
                </c:pt>
                <c:pt idx="38">
                  <c:v>12.7</c:v>
                </c:pt>
                <c:pt idx="39">
                  <c:v>12.7</c:v>
                </c:pt>
                <c:pt idx="40">
                  <c:v>12.065</c:v>
                </c:pt>
                <c:pt idx="41">
                  <c:v>12.065</c:v>
                </c:pt>
                <c:pt idx="42">
                  <c:v>12.7</c:v>
                </c:pt>
                <c:pt idx="43">
                  <c:v>12.7</c:v>
                </c:pt>
                <c:pt idx="44">
                  <c:v>5.1181000000000001</c:v>
                </c:pt>
                <c:pt idx="45">
                  <c:v>2.7305000000000001</c:v>
                </c:pt>
                <c:pt idx="46">
                  <c:v>2.7305000000000001</c:v>
                </c:pt>
                <c:pt idx="47">
                  <c:v>16.827500000000001</c:v>
                </c:pt>
                <c:pt idx="48">
                  <c:v>16.827500000000001</c:v>
                </c:pt>
                <c:pt idx="49">
                  <c:v>23.977599999999999</c:v>
                </c:pt>
                <c:pt idx="50">
                  <c:v>23.977599999999999</c:v>
                </c:pt>
                <c:pt idx="51">
                  <c:v>-23.977599999999999</c:v>
                </c:pt>
                <c:pt idx="52">
                  <c:v>-23.977599999999999</c:v>
                </c:pt>
                <c:pt idx="53">
                  <c:v>-16.827500000000001</c:v>
                </c:pt>
                <c:pt idx="54">
                  <c:v>-16.827500000000001</c:v>
                </c:pt>
                <c:pt idx="55">
                  <c:v>-2.7305000000000001</c:v>
                </c:pt>
                <c:pt idx="56">
                  <c:v>-2.7305000000000001</c:v>
                </c:pt>
                <c:pt idx="57">
                  <c:v>-5.1181000000000001</c:v>
                </c:pt>
                <c:pt idx="58">
                  <c:v>-12.7</c:v>
                </c:pt>
                <c:pt idx="59">
                  <c:v>-12.7</c:v>
                </c:pt>
                <c:pt idx="60">
                  <c:v>-12.065</c:v>
                </c:pt>
                <c:pt idx="61">
                  <c:v>-12.065</c:v>
                </c:pt>
                <c:pt idx="62">
                  <c:v>-12.7</c:v>
                </c:pt>
                <c:pt idx="63">
                  <c:v>-12.7</c:v>
                </c:pt>
                <c:pt idx="64">
                  <c:v>-9.1821000000000002</c:v>
                </c:pt>
                <c:pt idx="65">
                  <c:v>-9.1821000000000002</c:v>
                </c:pt>
                <c:pt idx="66">
                  <c:v>-2.7305000000000001</c:v>
                </c:pt>
                <c:pt idx="67">
                  <c:v>-2.7305000000000001</c:v>
                </c:pt>
                <c:pt idx="68">
                  <c:v>-6.7309999999999999</c:v>
                </c:pt>
                <c:pt idx="69">
                  <c:v>-6.7309999999999999</c:v>
                </c:pt>
                <c:pt idx="70">
                  <c:v>-11.3665</c:v>
                </c:pt>
                <c:pt idx="71">
                  <c:v>-11.3665</c:v>
                </c:pt>
                <c:pt idx="72">
                  <c:v>-6.0706000000000007</c:v>
                </c:pt>
                <c:pt idx="73">
                  <c:v>-6.0706000000000007</c:v>
                </c:pt>
                <c:pt idx="74">
                  <c:v>-14.605</c:v>
                </c:pt>
                <c:pt idx="75">
                  <c:v>-14.605</c:v>
                </c:pt>
                <c:pt idx="76">
                  <c:v>-5.0419</c:v>
                </c:pt>
                <c:pt idx="77">
                  <c:v>-5.0419</c:v>
                </c:pt>
                <c:pt idx="78">
                  <c:v>-11.3665</c:v>
                </c:pt>
                <c:pt idx="79">
                  <c:v>-11.3665</c:v>
                </c:pt>
                <c:pt idx="80">
                  <c:v>-9.2074999999999996</c:v>
                </c:pt>
                <c:pt idx="81">
                  <c:v>-9.2074999999999996</c:v>
                </c:pt>
                <c:pt idx="82">
                  <c:v>-5.3085999999999993</c:v>
                </c:pt>
                <c:pt idx="83">
                  <c:v>-5.3085999999999993</c:v>
                </c:pt>
                <c:pt idx="84">
                  <c:v>-24.104600000000001</c:v>
                </c:pt>
                <c:pt idx="85">
                  <c:v>-24.104600000000001</c:v>
                </c:pt>
                <c:pt idx="86">
                  <c:v>-5.3085999999999993</c:v>
                </c:pt>
                <c:pt idx="87">
                  <c:v>-6.2229999999999999</c:v>
                </c:pt>
                <c:pt idx="88">
                  <c:v>-6.3118999999999996</c:v>
                </c:pt>
                <c:pt idx="89">
                  <c:v>-6.3118999999999996</c:v>
                </c:pt>
                <c:pt idx="90">
                  <c:v>-10.058400000000001</c:v>
                </c:pt>
                <c:pt idx="91">
                  <c:v>-10.058400000000001</c:v>
                </c:pt>
                <c:pt idx="92">
                  <c:v>-16.827500000000001</c:v>
                </c:pt>
                <c:pt idx="93">
                  <c:v>-16.827500000000001</c:v>
                </c:pt>
                <c:pt idx="94">
                  <c:v>-24.066499999999998</c:v>
                </c:pt>
                <c:pt idx="95">
                  <c:v>-24.066499999999998</c:v>
                </c:pt>
                <c:pt idx="96">
                  <c:v>-9.2074999999999996</c:v>
                </c:pt>
                <c:pt idx="97">
                  <c:v>-9.2074999999999996</c:v>
                </c:pt>
                <c:pt idx="98">
                  <c:v>-8.254999999999999</c:v>
                </c:pt>
                <c:pt idx="99">
                  <c:v>-8.254999999999999</c:v>
                </c:pt>
                <c:pt idx="100">
                  <c:v>-40.005000000000003</c:v>
                </c:pt>
                <c:pt idx="101">
                  <c:v>-40.005000000000003</c:v>
                </c:pt>
                <c:pt idx="102">
                  <c:v>40.005000000000003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6E-384E-AD59-D49980BCA914}"/>
            </c:ext>
          </c:extLst>
        </c:ser>
        <c:ser>
          <c:idx val="2"/>
          <c:order val="1"/>
          <c:tx>
            <c:strRef>
              <c:f>Sheet1!$J$2</c:f>
              <c:strCache>
                <c:ptCount val="1"/>
                <c:pt idx="0">
                  <c:v>target assembly shield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spPr>
              <a:ln w="508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FF6E-384E-AD59-D49980BCA914}"/>
              </c:ext>
            </c:extLst>
          </c:dPt>
          <c:xVal>
            <c:numRef>
              <c:f>Sheet1!$J$4:$J$5</c:f>
              <c:numCache>
                <c:formatCode>General</c:formatCode>
                <c:ptCount val="2"/>
                <c:pt idx="0">
                  <c:v>782.7</c:v>
                </c:pt>
                <c:pt idx="1">
                  <c:v>782.7</c:v>
                </c:pt>
              </c:numCache>
            </c:numRef>
          </c:xVal>
          <c:yVal>
            <c:numRef>
              <c:f>Sheet1!$K$4:$K$5</c:f>
              <c:numCache>
                <c:formatCode>General</c:formatCode>
                <c:ptCount val="2"/>
                <c:pt idx="0">
                  <c:v>2.5</c:v>
                </c:pt>
                <c:pt idx="1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6E-384E-AD59-D49980BCA914}"/>
            </c:ext>
          </c:extLst>
        </c:ser>
        <c:ser>
          <c:idx val="1"/>
          <c:order val="2"/>
          <c:tx>
            <c:strRef>
              <c:f>Sheet1!$G$2</c:f>
              <c:strCache>
                <c:ptCount val="1"/>
                <c:pt idx="0">
                  <c:v>target [mm]</c:v>
                </c:pt>
              </c:strCache>
            </c:strRef>
          </c:tx>
          <c:spPr>
            <a:ln w="698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F6E-384E-AD59-D49980BCA914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F6E-384E-AD59-D49980BCA914}"/>
              </c:ext>
            </c:extLst>
          </c:dPt>
          <c:xVal>
            <c:numRef>
              <c:f>Sheet1!$G$4:$G$5</c:f>
              <c:numCache>
                <c:formatCode>General</c:formatCode>
                <c:ptCount val="2"/>
                <c:pt idx="0">
                  <c:v>782.7</c:v>
                </c:pt>
                <c:pt idx="1">
                  <c:v>782.7</c:v>
                </c:pt>
              </c:numCache>
            </c:numRef>
          </c:xVal>
          <c:yVal>
            <c:numRef>
              <c:f>Sheet1!$H$4:$H$5</c:f>
              <c:numCache>
                <c:formatCode>General</c:formatCode>
                <c:ptCount val="2"/>
                <c:pt idx="0">
                  <c:v>2.5</c:v>
                </c:pt>
                <c:pt idx="1">
                  <c:v>-2.5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6E-384E-AD59-D49980BCA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58911"/>
        <c:axId val="171155327"/>
      </c:scatterChart>
      <c:valAx>
        <c:axId val="171158911"/>
        <c:scaling>
          <c:orientation val="minMax"/>
          <c:max val="800"/>
          <c:min val="-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chemeClr val="tx1"/>
                    </a:solidFill>
                  </a:rPr>
                  <a:t>Z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5327"/>
        <c:crossesAt val="-45"/>
        <c:crossBetween val="midCat"/>
        <c:majorUnit val="100"/>
        <c:minorUnit val="50"/>
      </c:valAx>
      <c:valAx>
        <c:axId val="171155327"/>
        <c:scaling>
          <c:orientation val="minMax"/>
          <c:max val="45"/>
          <c:min val="-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Radius, r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8911"/>
        <c:crossesAt val="-400"/>
        <c:crossBetween val="midCat"/>
        <c:majorUnit val="5"/>
        <c:minorUnit val="2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730244</xdr:colOff>
      <xdr:row>5</xdr:row>
      <xdr:rowOff>165100</xdr:rowOff>
    </xdr:from>
    <xdr:to>
      <xdr:col>22</xdr:col>
      <xdr:colOff>480533</xdr:colOff>
      <xdr:row>52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8D35E-136B-7E10-0EBE-70728050D93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0.16491</cdr:x>
      <cdr:y>0.76012</cdr:y>
    </cdr:from>
    <cdr:to>
      <cdr:x>0.21599</cdr:x>
      <cdr:y>0.78151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08465A3-2F38-7080-6819-8B49FEAF0239}"/>
            </a:ext>
          </a:extLst>
        </cdr:cNvPr>
        <cdr:cNvSpPr txBox="1"/>
      </cdr:nvSpPr>
      <cdr:spPr>
        <a:xfrm xmlns:a="http://schemas.openxmlformats.org/drawingml/2006/main">
          <a:off x="1885950" y="6318250"/>
          <a:ext cx="584200" cy="1778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lIns="0" tIns="0" rIns="0" bIns="0" rtlCol="0"/>
        <a:lstStyle xmlns:a="http://schemas.openxmlformats.org/drawingml/2006/main"/>
        <a:p xmlns:a="http://schemas.openxmlformats.org/drawingml/2006/main">
          <a:r>
            <a:rPr lang="en-US" sz="1100" kern="1200"/>
            <a:t>dumptank</a:t>
          </a:r>
        </a:p>
      </cdr:txBody>
    </cdr:sp>
  </cdr:relSizeAnchor>
  <cdr:relSizeAnchor xmlns:cdr="http://schemas.openxmlformats.org/drawingml/2006/chartDrawing">
    <cdr:from>
      <cdr:x>0.29095</cdr:x>
      <cdr:y>0.76012</cdr:y>
    </cdr:from>
    <cdr:to>
      <cdr:x>0.34203</cdr:x>
      <cdr:y>0.78151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431C52C-F535-CF1A-CB48-5482EE346524}"/>
            </a:ext>
          </a:extLst>
        </cdr:cNvPr>
        <cdr:cNvSpPr txBox="1"/>
      </cdr:nvSpPr>
      <cdr:spPr>
        <a:xfrm xmlns:a="http://schemas.openxmlformats.org/drawingml/2006/main">
          <a:off x="3327400" y="6318250"/>
          <a:ext cx="584200" cy="1778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helicon</a:t>
          </a:r>
          <a:r>
            <a:rPr lang="en-US" sz="1100" kern="1200" baseline="0"/>
            <a:t> US diag.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0.39756</cdr:x>
      <cdr:y>0.76012</cdr:y>
    </cdr:from>
    <cdr:to>
      <cdr:x>0.44864</cdr:x>
      <cdr:y>0.78151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047BBE2-A709-14E8-CF6D-19C36591C3CB}"/>
            </a:ext>
          </a:extLst>
        </cdr:cNvPr>
        <cdr:cNvSpPr txBox="1"/>
      </cdr:nvSpPr>
      <cdr:spPr>
        <a:xfrm xmlns:a="http://schemas.openxmlformats.org/drawingml/2006/main">
          <a:off x="4546600" y="6318250"/>
          <a:ext cx="584200" cy="1778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helicon</a:t>
          </a:r>
          <a:r>
            <a:rPr lang="en-US" sz="1100" kern="1200" baseline="0"/>
            <a:t> DS diag.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0.33537</cdr:x>
      <cdr:y>0.25057</cdr:y>
    </cdr:from>
    <cdr:to>
      <cdr:x>0.38645</cdr:x>
      <cdr:y>0.27196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7BB130CC-E0D2-BB8E-7235-1A86E1836132}"/>
            </a:ext>
          </a:extLst>
        </cdr:cNvPr>
        <cdr:cNvSpPr txBox="1"/>
      </cdr:nvSpPr>
      <cdr:spPr>
        <a:xfrm xmlns:a="http://schemas.openxmlformats.org/drawingml/2006/main">
          <a:off x="3835400" y="2082800"/>
          <a:ext cx="584200" cy="1778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helicon</a:t>
          </a:r>
          <a:r>
            <a:rPr lang="en-US" sz="1100" kern="1200" baseline="0"/>
            <a:t> 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0.45086</cdr:x>
      <cdr:y>0.24752</cdr:y>
    </cdr:from>
    <cdr:to>
      <cdr:x>0.50194</cdr:x>
      <cdr:y>0.26891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DDF6F197-7634-860E-0F8D-35FDCA8F2AA4}"/>
            </a:ext>
          </a:extLst>
        </cdr:cNvPr>
        <cdr:cNvSpPr txBox="1"/>
      </cdr:nvSpPr>
      <cdr:spPr>
        <a:xfrm xmlns:a="http://schemas.openxmlformats.org/drawingml/2006/main">
          <a:off x="5156200" y="2057400"/>
          <a:ext cx="584200" cy="1778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skimmer #1</a:t>
          </a:r>
        </a:p>
      </cdr:txBody>
    </cdr:sp>
  </cdr:relSizeAnchor>
  <cdr:relSizeAnchor xmlns:cdr="http://schemas.openxmlformats.org/drawingml/2006/chartDrawing">
    <cdr:from>
      <cdr:x>0.36091</cdr:x>
      <cdr:y>0.27196</cdr:y>
    </cdr:from>
    <cdr:to>
      <cdr:x>0.3759</cdr:x>
      <cdr:y>0.44156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8F90523F-3CD4-6872-1DB2-C7BDE8111184}"/>
            </a:ext>
          </a:extLst>
        </cdr:cNvPr>
        <cdr:cNvCxnSpPr>
          <a:stCxn xmlns:a="http://schemas.openxmlformats.org/drawingml/2006/main" id="5" idx="2"/>
        </cdr:cNvCxnSpPr>
      </cdr:nvCxnSpPr>
      <cdr:spPr>
        <a:xfrm xmlns:a="http://schemas.openxmlformats.org/drawingml/2006/main">
          <a:off x="4127500" y="2260600"/>
          <a:ext cx="171450" cy="14097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0.45197</cdr:x>
      <cdr:y>0.27349</cdr:y>
    </cdr:from>
    <cdr:to>
      <cdr:x>0.4714</cdr:x>
      <cdr:y>0.41558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E0E4526D-1F1C-7ABF-CF84-747A83ADD425}"/>
            </a:ext>
          </a:extLst>
        </cdr:cNvPr>
        <cdr:cNvCxnSpPr/>
      </cdr:nvCxnSpPr>
      <cdr:spPr>
        <a:xfrm xmlns:a="http://schemas.openxmlformats.org/drawingml/2006/main" flipH="1">
          <a:off x="5168900" y="2273300"/>
          <a:ext cx="222250" cy="11811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0.54303</cdr:x>
      <cdr:y>0.70435</cdr:y>
    </cdr:from>
    <cdr:to>
      <cdr:x>0.59411</cdr:x>
      <cdr:y>0.72574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45F8C838-AB87-F79C-F5FE-365068C88AAF}"/>
            </a:ext>
          </a:extLst>
        </cdr:cNvPr>
        <cdr:cNvSpPr txBox="1"/>
      </cdr:nvSpPr>
      <cdr:spPr>
        <a:xfrm xmlns:a="http://schemas.openxmlformats.org/drawingml/2006/main">
          <a:off x="6210300" y="5854700"/>
          <a:ext cx="584200" cy="1778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ECH launcher</a:t>
          </a:r>
        </a:p>
      </cdr:txBody>
    </cdr:sp>
  </cdr:relSizeAnchor>
  <cdr:relSizeAnchor xmlns:cdr="http://schemas.openxmlformats.org/drawingml/2006/chartDrawing">
    <cdr:from>
      <cdr:x>0.66185</cdr:x>
      <cdr:y>0.67074</cdr:y>
    </cdr:from>
    <cdr:to>
      <cdr:x>0.71294</cdr:x>
      <cdr:y>0.69213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C3FE2716-F99B-F7ED-D99F-B5EEFBD68D0C}"/>
            </a:ext>
          </a:extLst>
        </cdr:cNvPr>
        <cdr:cNvSpPr txBox="1"/>
      </cdr:nvSpPr>
      <cdr:spPr>
        <a:xfrm xmlns:a="http://schemas.openxmlformats.org/drawingml/2006/main">
          <a:off x="7569200" y="5575300"/>
          <a:ext cx="584200" cy="1778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ICH 'tube'</a:t>
          </a:r>
        </a:p>
      </cdr:txBody>
    </cdr:sp>
  </cdr:relSizeAnchor>
  <cdr:relSizeAnchor xmlns:cdr="http://schemas.openxmlformats.org/drawingml/2006/chartDrawing">
    <cdr:from>
      <cdr:x>0.76957</cdr:x>
      <cdr:y>0.24599</cdr:y>
    </cdr:from>
    <cdr:to>
      <cdr:x>0.82066</cdr:x>
      <cdr:y>0.26738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4CB148FE-FF45-0851-EB73-348BCEC42EF9}"/>
            </a:ext>
          </a:extLst>
        </cdr:cNvPr>
        <cdr:cNvSpPr txBox="1"/>
      </cdr:nvSpPr>
      <cdr:spPr>
        <a:xfrm xmlns:a="http://schemas.openxmlformats.org/drawingml/2006/main">
          <a:off x="8801100" y="2044700"/>
          <a:ext cx="584200" cy="1778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lIns="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skimmer #2</a:t>
          </a:r>
        </a:p>
      </cdr:txBody>
    </cdr:sp>
  </cdr:relSizeAnchor>
  <cdr:relSizeAnchor xmlns:cdr="http://schemas.openxmlformats.org/drawingml/2006/chartDrawing">
    <cdr:from>
      <cdr:x>0.79511</cdr:x>
      <cdr:y>0.26738</cdr:y>
    </cdr:from>
    <cdr:to>
      <cdr:x>0.83787</cdr:x>
      <cdr:y>0.46448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814B6F7E-A2E7-6BD0-DBC4-B80C233203A4}"/>
            </a:ext>
          </a:extLst>
        </cdr:cNvPr>
        <cdr:cNvCxnSpPr>
          <a:stCxn xmlns:a="http://schemas.openxmlformats.org/drawingml/2006/main" id="13" idx="2"/>
        </cdr:cNvCxnSpPr>
      </cdr:nvCxnSpPr>
      <cdr:spPr>
        <a:xfrm xmlns:a="http://schemas.openxmlformats.org/drawingml/2006/main">
          <a:off x="9093200" y="2222500"/>
          <a:ext cx="488950" cy="16383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0.56857</cdr:x>
      <cdr:y>0.64629</cdr:y>
    </cdr:from>
    <cdr:to>
      <cdr:x>0.57801</cdr:x>
      <cdr:y>0.70435</cdr:y>
    </cdr:to>
    <cdr:cxnSp macro="">
      <cdr:nvCxnSpPr>
        <cdr:cNvPr id="17" name="Straight Connector 16">
          <a:extLst xmlns:a="http://schemas.openxmlformats.org/drawingml/2006/main">
            <a:ext uri="{FF2B5EF4-FFF2-40B4-BE49-F238E27FC236}">
              <a16:creationId xmlns:a16="http://schemas.microsoft.com/office/drawing/2014/main" id="{68B5E010-8571-BEB4-A25C-A616E7C9531C}"/>
            </a:ext>
          </a:extLst>
        </cdr:cNvPr>
        <cdr:cNvCxnSpPr>
          <a:endCxn xmlns:a="http://schemas.openxmlformats.org/drawingml/2006/main" id="11" idx="0"/>
        </cdr:cNvCxnSpPr>
      </cdr:nvCxnSpPr>
      <cdr:spPr>
        <a:xfrm xmlns:a="http://schemas.openxmlformats.org/drawingml/2006/main" flipH="1">
          <a:off x="6502400" y="5372100"/>
          <a:ext cx="107950" cy="4826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0.6874</cdr:x>
      <cdr:y>0.54698</cdr:y>
    </cdr:from>
    <cdr:to>
      <cdr:x>0.70128</cdr:x>
      <cdr:y>0.67074</cdr:y>
    </cdr:to>
    <cdr:cxnSp macro="">
      <cdr:nvCxnSpPr>
        <cdr:cNvPr id="20" name="Straight Connector 19">
          <a:extLst xmlns:a="http://schemas.openxmlformats.org/drawingml/2006/main">
            <a:ext uri="{FF2B5EF4-FFF2-40B4-BE49-F238E27FC236}">
              <a16:creationId xmlns:a16="http://schemas.microsoft.com/office/drawing/2014/main" id="{0D23546B-2D22-3EF0-3435-DC2DDDC40BB0}"/>
            </a:ext>
          </a:extLst>
        </cdr:cNvPr>
        <cdr:cNvCxnSpPr>
          <a:endCxn xmlns:a="http://schemas.openxmlformats.org/drawingml/2006/main" id="12" idx="0"/>
        </cdr:cNvCxnSpPr>
      </cdr:nvCxnSpPr>
      <cdr:spPr>
        <a:xfrm xmlns:a="http://schemas.openxmlformats.org/drawingml/2006/main" flipH="1">
          <a:off x="7861300" y="4546600"/>
          <a:ext cx="158750" cy="10287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5B14-9CC6-6349-B7FB-CC617A9FC319}">
  <dimension ref="A1:K106"/>
  <sheetViews>
    <sheetView tabSelected="1" zoomScaleNormal="100" workbookViewId="0">
      <selection activeCell="I4" sqref="I4"/>
    </sheetView>
  </sheetViews>
  <sheetFormatPr baseColWidth="10" defaultRowHeight="16" x14ac:dyDescent="0.2"/>
  <cols>
    <col min="1" max="1" width="6.1640625" bestFit="1" customWidth="1"/>
  </cols>
  <sheetData>
    <row r="1" spans="1:11" x14ac:dyDescent="0.2">
      <c r="A1" s="2" t="s">
        <v>7</v>
      </c>
      <c r="B1" s="2"/>
      <c r="C1" s="2"/>
      <c r="D1" s="2"/>
      <c r="E1" s="2"/>
    </row>
    <row r="2" spans="1:11" x14ac:dyDescent="0.2">
      <c r="A2" s="7" t="s">
        <v>3</v>
      </c>
      <c r="B2" s="2" t="s">
        <v>0</v>
      </c>
      <c r="C2" s="2"/>
      <c r="D2" s="4" t="s">
        <v>2</v>
      </c>
      <c r="E2" s="5"/>
      <c r="G2" s="2" t="s">
        <v>8</v>
      </c>
      <c r="H2" s="2"/>
      <c r="J2" s="2" t="s">
        <v>9</v>
      </c>
      <c r="K2" s="2"/>
    </row>
    <row r="3" spans="1:11" ht="17" thickBot="1" x14ac:dyDescent="0.25">
      <c r="A3" s="8"/>
      <c r="B3" s="3" t="s">
        <v>1</v>
      </c>
      <c r="C3" s="3" t="s">
        <v>10</v>
      </c>
      <c r="D3" s="6" t="s">
        <v>1</v>
      </c>
      <c r="E3" s="3" t="s">
        <v>10</v>
      </c>
      <c r="G3" s="1" t="s">
        <v>0</v>
      </c>
      <c r="H3" s="1" t="s">
        <v>2</v>
      </c>
      <c r="J3" s="1" t="s">
        <v>0</v>
      </c>
      <c r="K3" s="1" t="s">
        <v>2</v>
      </c>
    </row>
    <row r="4" spans="1:11" x14ac:dyDescent="0.2">
      <c r="A4" s="10">
        <v>1</v>
      </c>
      <c r="B4" s="1">
        <v>-123.22799999999999</v>
      </c>
      <c r="C4" s="17">
        <f>CONVERT(B4,"in","m")*100</f>
        <v>-312.99912</v>
      </c>
      <c r="D4" s="13">
        <v>15.75</v>
      </c>
      <c r="E4" s="11">
        <f>CONVERT(D4,"in","m")*100</f>
        <v>40.005000000000003</v>
      </c>
      <c r="G4" s="1">
        <v>782.7</v>
      </c>
      <c r="H4" s="1">
        <v>2.5</v>
      </c>
      <c r="J4" s="1">
        <v>782.7</v>
      </c>
      <c r="K4" s="1">
        <v>2.5</v>
      </c>
    </row>
    <row r="5" spans="1:11" x14ac:dyDescent="0.2">
      <c r="A5" s="10">
        <v>2</v>
      </c>
      <c r="B5" s="1">
        <v>-74.977999999999994</v>
      </c>
      <c r="C5" s="17">
        <f t="shared" ref="C5:C68" si="0">CONVERT(B5,"in","m")*100</f>
        <v>-190.44412</v>
      </c>
      <c r="D5" s="13">
        <v>15.75</v>
      </c>
      <c r="E5" s="11">
        <f t="shared" ref="E5:E68" si="1">CONVERT(D5,"in","m")*100</f>
        <v>40.005000000000003</v>
      </c>
      <c r="G5" s="1">
        <v>782.7</v>
      </c>
      <c r="H5" s="1">
        <v>-2.5</v>
      </c>
      <c r="J5" s="1">
        <v>782.7</v>
      </c>
      <c r="K5" s="1">
        <v>7.5</v>
      </c>
    </row>
    <row r="6" spans="1:11" x14ac:dyDescent="0.2">
      <c r="A6" s="10">
        <v>3</v>
      </c>
      <c r="B6" s="1">
        <v>-72.768000000000001</v>
      </c>
      <c r="C6" s="17">
        <f t="shared" si="0"/>
        <v>-184.83072000000001</v>
      </c>
      <c r="D6" s="13">
        <v>3.25</v>
      </c>
      <c r="E6" s="11">
        <f t="shared" si="1"/>
        <v>8.254999999999999</v>
      </c>
    </row>
    <row r="7" spans="1:11" x14ac:dyDescent="0.2">
      <c r="A7" s="10">
        <v>4</v>
      </c>
      <c r="B7" s="1">
        <f>B6+13.249</f>
        <v>-59.518999999999998</v>
      </c>
      <c r="C7" s="17">
        <f t="shared" si="0"/>
        <v>-151.17826000000002</v>
      </c>
      <c r="D7" s="13">
        <v>3.25</v>
      </c>
      <c r="E7" s="11">
        <f t="shared" si="1"/>
        <v>8.254999999999999</v>
      </c>
    </row>
    <row r="8" spans="1:11" x14ac:dyDescent="0.2">
      <c r="A8" s="10" t="s">
        <v>4</v>
      </c>
      <c r="B8" s="1">
        <v>-59.518999999999998</v>
      </c>
      <c r="C8" s="17">
        <f t="shared" si="0"/>
        <v>-151.17826000000002</v>
      </c>
      <c r="D8" s="14">
        <f>7.25/2</f>
        <v>3.625</v>
      </c>
      <c r="E8" s="11">
        <f t="shared" si="1"/>
        <v>9.2074999999999996</v>
      </c>
    </row>
    <row r="9" spans="1:11" x14ac:dyDescent="0.2">
      <c r="A9" s="10">
        <v>5</v>
      </c>
      <c r="B9" s="1">
        <f>B8+29.105</f>
        <v>-30.413999999999998</v>
      </c>
      <c r="C9" s="17">
        <f t="shared" si="0"/>
        <v>-77.251559999999984</v>
      </c>
      <c r="D9" s="13">
        <v>3.625</v>
      </c>
      <c r="E9" s="11">
        <f t="shared" si="1"/>
        <v>9.2074999999999996</v>
      </c>
    </row>
    <row r="10" spans="1:11" x14ac:dyDescent="0.2">
      <c r="A10" s="10">
        <v>6</v>
      </c>
      <c r="B10" s="1">
        <v>-30.414000000000001</v>
      </c>
      <c r="C10" s="17">
        <f t="shared" si="0"/>
        <v>-77.251559999999998</v>
      </c>
      <c r="D10" s="13">
        <f>18.95/2</f>
        <v>9.4749999999999996</v>
      </c>
      <c r="E10" s="11">
        <f t="shared" si="1"/>
        <v>24.066499999999998</v>
      </c>
    </row>
    <row r="11" spans="1:11" x14ac:dyDescent="0.2">
      <c r="A11" s="10">
        <v>7</v>
      </c>
      <c r="B11" s="1">
        <f>B10+12.9</f>
        <v>-17.514000000000003</v>
      </c>
      <c r="C11" s="17">
        <f t="shared" si="0"/>
        <v>-44.485560000000007</v>
      </c>
      <c r="D11" s="13">
        <v>9.4749999999999996</v>
      </c>
      <c r="E11" s="11">
        <f t="shared" si="1"/>
        <v>24.066499999999998</v>
      </c>
    </row>
    <row r="12" spans="1:11" x14ac:dyDescent="0.2">
      <c r="A12" s="10">
        <v>8</v>
      </c>
      <c r="B12" s="1">
        <v>-17.513999999999999</v>
      </c>
      <c r="C12" s="17">
        <f t="shared" si="0"/>
        <v>-44.48556</v>
      </c>
      <c r="D12" s="13">
        <f>13.25/2</f>
        <v>6.625</v>
      </c>
      <c r="E12" s="11">
        <f t="shared" si="1"/>
        <v>16.827500000000001</v>
      </c>
    </row>
    <row r="13" spans="1:11" x14ac:dyDescent="0.2">
      <c r="A13" s="9" t="s">
        <v>5</v>
      </c>
      <c r="B13" s="1">
        <f>B12+1.12</f>
        <v>-16.393999999999998</v>
      </c>
      <c r="C13" s="17">
        <f t="shared" si="0"/>
        <v>-41.640759999999993</v>
      </c>
      <c r="D13" s="13">
        <v>6.625</v>
      </c>
      <c r="E13" s="11">
        <f t="shared" si="1"/>
        <v>16.827500000000001</v>
      </c>
    </row>
    <row r="14" spans="1:11" x14ac:dyDescent="0.2">
      <c r="A14" s="10">
        <v>9</v>
      </c>
      <c r="B14" s="1">
        <v>-16.393999999999998</v>
      </c>
      <c r="C14" s="17">
        <f t="shared" si="0"/>
        <v>-41.640759999999993</v>
      </c>
      <c r="D14" s="13">
        <f>7.92/2</f>
        <v>3.96</v>
      </c>
      <c r="E14" s="11">
        <f t="shared" si="1"/>
        <v>10.058400000000001</v>
      </c>
    </row>
    <row r="15" spans="1:11" x14ac:dyDescent="0.2">
      <c r="A15" s="10">
        <v>10</v>
      </c>
      <c r="B15" s="1">
        <f>B14+7.91</f>
        <v>-8.4839999999999982</v>
      </c>
      <c r="C15" s="17">
        <f t="shared" si="0"/>
        <v>-21.549359999999997</v>
      </c>
      <c r="D15" s="13">
        <v>3.96</v>
      </c>
      <c r="E15" s="11">
        <f t="shared" si="1"/>
        <v>10.058400000000001</v>
      </c>
    </row>
    <row r="16" spans="1:11" x14ac:dyDescent="0.2">
      <c r="A16" s="10" t="s">
        <v>6</v>
      </c>
      <c r="B16" s="1">
        <v>-8.484</v>
      </c>
      <c r="C16" s="17">
        <f t="shared" si="0"/>
        <v>-21.54936</v>
      </c>
      <c r="D16" s="13">
        <f>4.97/2</f>
        <v>2.4849999999999999</v>
      </c>
      <c r="E16" s="11">
        <f t="shared" si="1"/>
        <v>6.3118999999999996</v>
      </c>
    </row>
    <row r="17" spans="1:5" x14ac:dyDescent="0.2">
      <c r="A17" s="10">
        <v>11</v>
      </c>
      <c r="B17" s="1">
        <f>B16+17.64</f>
        <v>9.1560000000000006</v>
      </c>
      <c r="C17" s="17">
        <f t="shared" si="0"/>
        <v>23.256240000000002</v>
      </c>
      <c r="D17" s="13">
        <v>2.4849999999999999</v>
      </c>
      <c r="E17" s="11">
        <f t="shared" si="1"/>
        <v>6.3118999999999996</v>
      </c>
    </row>
    <row r="18" spans="1:5" x14ac:dyDescent="0.2">
      <c r="A18" s="10">
        <v>12</v>
      </c>
      <c r="B18" s="1">
        <v>8.8190000000000008</v>
      </c>
      <c r="C18" s="17">
        <f t="shared" si="0"/>
        <v>22.400259999999999</v>
      </c>
      <c r="D18" s="13">
        <f>4.9/2</f>
        <v>2.4500000000000002</v>
      </c>
      <c r="E18" s="11">
        <f t="shared" si="1"/>
        <v>6.2229999999999999</v>
      </c>
    </row>
    <row r="19" spans="1:5" x14ac:dyDescent="0.2">
      <c r="A19" s="10">
        <v>13</v>
      </c>
      <c r="B19" s="1">
        <f>B18+10.87</f>
        <v>19.689</v>
      </c>
      <c r="C19" s="17">
        <f t="shared" si="0"/>
        <v>50.010060000000003</v>
      </c>
      <c r="D19" s="12">
        <f>4.18/2</f>
        <v>2.09</v>
      </c>
      <c r="E19" s="11">
        <f t="shared" si="1"/>
        <v>5.3085999999999993</v>
      </c>
    </row>
    <row r="20" spans="1:5" x14ac:dyDescent="0.2">
      <c r="A20" s="10">
        <v>14</v>
      </c>
      <c r="B20" s="1">
        <v>19.689</v>
      </c>
      <c r="C20" s="17">
        <f t="shared" si="0"/>
        <v>50.010060000000003</v>
      </c>
      <c r="D20" s="12">
        <f>18.98/2</f>
        <v>9.49</v>
      </c>
      <c r="E20" s="11">
        <f t="shared" si="1"/>
        <v>24.104600000000001</v>
      </c>
    </row>
    <row r="21" spans="1:5" x14ac:dyDescent="0.2">
      <c r="A21" s="10">
        <v>15</v>
      </c>
      <c r="B21" s="1">
        <f>B20+12.9</f>
        <v>32.588999999999999</v>
      </c>
      <c r="C21" s="17">
        <f t="shared" si="0"/>
        <v>82.776060000000001</v>
      </c>
      <c r="D21" s="12">
        <v>9.49</v>
      </c>
      <c r="E21" s="11">
        <f t="shared" si="1"/>
        <v>24.104600000000001</v>
      </c>
    </row>
    <row r="22" spans="1:5" x14ac:dyDescent="0.2">
      <c r="A22" s="10">
        <v>16</v>
      </c>
      <c r="B22" s="1">
        <v>32.588999999999999</v>
      </c>
      <c r="C22" s="17">
        <f t="shared" si="0"/>
        <v>82.776060000000001</v>
      </c>
      <c r="D22" s="12">
        <f>4.18/2</f>
        <v>2.09</v>
      </c>
      <c r="E22" s="11">
        <f t="shared" si="1"/>
        <v>5.3085999999999993</v>
      </c>
    </row>
    <row r="23" spans="1:5" x14ac:dyDescent="0.2">
      <c r="A23" s="10">
        <v>17</v>
      </c>
      <c r="B23" s="1">
        <f>B22+1.25</f>
        <v>33.838999999999999</v>
      </c>
      <c r="C23" s="17">
        <f t="shared" si="0"/>
        <v>85.951059999999998</v>
      </c>
      <c r="D23" s="12">
        <v>2.09</v>
      </c>
      <c r="E23" s="11">
        <f t="shared" si="1"/>
        <v>5.3085999999999993</v>
      </c>
    </row>
    <row r="24" spans="1:5" x14ac:dyDescent="0.2">
      <c r="A24" s="10">
        <v>18</v>
      </c>
      <c r="B24" s="1">
        <v>33.838999999999999</v>
      </c>
      <c r="C24" s="17">
        <f t="shared" si="0"/>
        <v>85.951059999999998</v>
      </c>
      <c r="D24" s="12">
        <f>7.25/2</f>
        <v>3.625</v>
      </c>
      <c r="E24" s="11">
        <f t="shared" si="1"/>
        <v>9.2074999999999996</v>
      </c>
    </row>
    <row r="25" spans="1:5" x14ac:dyDescent="0.2">
      <c r="A25" s="10">
        <v>19</v>
      </c>
      <c r="B25" s="1">
        <f>B24+13.25+32.46</f>
        <v>79.549000000000007</v>
      </c>
      <c r="C25" s="17">
        <f t="shared" si="0"/>
        <v>202.05446000000001</v>
      </c>
      <c r="D25" s="12">
        <v>3.625</v>
      </c>
      <c r="E25" s="11">
        <f t="shared" si="1"/>
        <v>9.2074999999999996</v>
      </c>
    </row>
    <row r="26" spans="1:5" x14ac:dyDescent="0.2">
      <c r="A26" s="10">
        <v>20</v>
      </c>
      <c r="B26" s="1">
        <v>79.549000000000007</v>
      </c>
      <c r="C26" s="17">
        <f t="shared" si="0"/>
        <v>202.05446000000001</v>
      </c>
      <c r="D26" s="12">
        <f>8.95/2</f>
        <v>4.4749999999999996</v>
      </c>
      <c r="E26" s="11">
        <f t="shared" si="1"/>
        <v>11.3665</v>
      </c>
    </row>
    <row r="27" spans="1:5" x14ac:dyDescent="0.2">
      <c r="A27" s="10">
        <v>21</v>
      </c>
      <c r="B27" s="1">
        <f>B26+20</f>
        <v>99.549000000000007</v>
      </c>
      <c r="C27" s="17">
        <f t="shared" si="0"/>
        <v>252.85446000000002</v>
      </c>
      <c r="D27" s="12">
        <v>4.4749999999999996</v>
      </c>
      <c r="E27" s="11">
        <f t="shared" si="1"/>
        <v>11.3665</v>
      </c>
    </row>
    <row r="28" spans="1:5" x14ac:dyDescent="0.2">
      <c r="A28" s="10">
        <v>22</v>
      </c>
      <c r="B28" s="1">
        <v>99.549000000000007</v>
      </c>
      <c r="C28" s="17">
        <f t="shared" si="0"/>
        <v>252.85446000000002</v>
      </c>
      <c r="D28" s="12">
        <f>3.97/2</f>
        <v>1.9850000000000001</v>
      </c>
      <c r="E28" s="11">
        <f t="shared" si="1"/>
        <v>5.0419</v>
      </c>
    </row>
    <row r="29" spans="1:5" x14ac:dyDescent="0.2">
      <c r="A29" s="10">
        <v>23</v>
      </c>
      <c r="B29" s="1">
        <f>B28+7.9</f>
        <v>107.44900000000001</v>
      </c>
      <c r="C29" s="17">
        <f t="shared" si="0"/>
        <v>272.92046000000005</v>
      </c>
      <c r="D29" s="12">
        <v>1.9850000000000001</v>
      </c>
      <c r="E29" s="11">
        <f t="shared" si="1"/>
        <v>5.0419</v>
      </c>
    </row>
    <row r="30" spans="1:5" x14ac:dyDescent="0.2">
      <c r="A30" s="10">
        <v>24</v>
      </c>
      <c r="B30" s="1">
        <v>107.449</v>
      </c>
      <c r="C30" s="17">
        <f t="shared" si="0"/>
        <v>272.92045999999999</v>
      </c>
      <c r="D30" s="1">
        <f>11.5/2</f>
        <v>5.75</v>
      </c>
      <c r="E30" s="11">
        <f t="shared" si="1"/>
        <v>14.605</v>
      </c>
    </row>
    <row r="31" spans="1:5" x14ac:dyDescent="0.2">
      <c r="A31" s="10">
        <v>25</v>
      </c>
      <c r="B31" s="1">
        <f>B30+9.48</f>
        <v>116.929</v>
      </c>
      <c r="C31" s="17">
        <f t="shared" si="0"/>
        <v>296.99966000000001</v>
      </c>
      <c r="D31" s="1">
        <v>5.75</v>
      </c>
      <c r="E31" s="11">
        <f t="shared" si="1"/>
        <v>14.605</v>
      </c>
    </row>
    <row r="32" spans="1:5" x14ac:dyDescent="0.2">
      <c r="A32" s="10">
        <v>26</v>
      </c>
      <c r="B32" s="1">
        <v>116.929</v>
      </c>
      <c r="C32" s="17">
        <f t="shared" si="0"/>
        <v>296.99966000000001</v>
      </c>
      <c r="D32" s="1">
        <f>4.78/2</f>
        <v>2.39</v>
      </c>
      <c r="E32" s="11">
        <f t="shared" si="1"/>
        <v>6.0706000000000007</v>
      </c>
    </row>
    <row r="33" spans="1:5" x14ac:dyDescent="0.2">
      <c r="A33" s="10">
        <v>27</v>
      </c>
      <c r="B33" s="1">
        <f>B32+6.06</f>
        <v>122.989</v>
      </c>
      <c r="C33" s="17">
        <f t="shared" si="0"/>
        <v>312.39206000000001</v>
      </c>
      <c r="D33" s="1">
        <v>2.39</v>
      </c>
      <c r="E33" s="11">
        <f t="shared" si="1"/>
        <v>6.0706000000000007</v>
      </c>
    </row>
    <row r="34" spans="1:5" x14ac:dyDescent="0.2">
      <c r="A34" s="10">
        <v>28</v>
      </c>
      <c r="B34" s="1">
        <v>122.989</v>
      </c>
      <c r="C34" s="17">
        <f t="shared" si="0"/>
        <v>312.39206000000001</v>
      </c>
      <c r="D34" s="1">
        <v>4.4749999999999996</v>
      </c>
      <c r="E34" s="11">
        <f t="shared" si="1"/>
        <v>11.3665</v>
      </c>
    </row>
    <row r="35" spans="1:5" x14ac:dyDescent="0.2">
      <c r="A35" s="10">
        <v>29</v>
      </c>
      <c r="B35" s="1">
        <f>B34+20</f>
        <v>142.989</v>
      </c>
      <c r="C35" s="17">
        <f>CONVERT(B35,"in","m")*100</f>
        <v>363.19205999999997</v>
      </c>
      <c r="D35" s="1">
        <v>4.4749999999999996</v>
      </c>
      <c r="E35" s="11">
        <f t="shared" si="1"/>
        <v>11.3665</v>
      </c>
    </row>
    <row r="36" spans="1:5" x14ac:dyDescent="0.2">
      <c r="A36" s="10">
        <v>30</v>
      </c>
      <c r="B36" s="1">
        <v>142.989</v>
      </c>
      <c r="C36" s="17">
        <f t="shared" si="0"/>
        <v>363.19205999999997</v>
      </c>
      <c r="D36" s="1">
        <f>5.3/2</f>
        <v>2.65</v>
      </c>
      <c r="E36" s="11">
        <f t="shared" si="1"/>
        <v>6.7309999999999999</v>
      </c>
    </row>
    <row r="37" spans="1:5" x14ac:dyDescent="0.2">
      <c r="A37" s="10">
        <v>31</v>
      </c>
      <c r="B37" s="1">
        <f>B36+13.25</f>
        <v>156.239</v>
      </c>
      <c r="C37" s="17">
        <f t="shared" si="0"/>
        <v>396.84706</v>
      </c>
      <c r="D37" s="1">
        <v>2.65</v>
      </c>
      <c r="E37" s="11">
        <f t="shared" si="1"/>
        <v>6.7309999999999999</v>
      </c>
    </row>
    <row r="38" spans="1:5" x14ac:dyDescent="0.2">
      <c r="A38" s="10">
        <v>32</v>
      </c>
      <c r="B38" s="1">
        <v>156.239</v>
      </c>
      <c r="C38" s="17">
        <f t="shared" si="0"/>
        <v>396.84706</v>
      </c>
      <c r="D38" s="1">
        <f>2.15/2</f>
        <v>1.075</v>
      </c>
      <c r="E38" s="11">
        <f t="shared" si="1"/>
        <v>2.7305000000000001</v>
      </c>
    </row>
    <row r="39" spans="1:5" x14ac:dyDescent="0.2">
      <c r="A39" s="10">
        <v>33</v>
      </c>
      <c r="B39" s="1">
        <f>B38+30.9</f>
        <v>187.13900000000001</v>
      </c>
      <c r="C39" s="17">
        <f t="shared" si="0"/>
        <v>475.33305999999999</v>
      </c>
      <c r="D39" s="1">
        <v>1.075</v>
      </c>
      <c r="E39" s="11">
        <f t="shared" si="1"/>
        <v>2.7305000000000001</v>
      </c>
    </row>
    <row r="40" spans="1:5" x14ac:dyDescent="0.2">
      <c r="A40" s="10">
        <v>34</v>
      </c>
      <c r="B40" s="1">
        <v>187.13900000000001</v>
      </c>
      <c r="C40" s="17">
        <f t="shared" si="0"/>
        <v>475.33305999999999</v>
      </c>
      <c r="D40" s="1">
        <f>7.23/2</f>
        <v>3.6150000000000002</v>
      </c>
      <c r="E40" s="11">
        <f t="shared" si="1"/>
        <v>9.1821000000000002</v>
      </c>
    </row>
    <row r="41" spans="1:5" x14ac:dyDescent="0.2">
      <c r="A41" s="10">
        <v>35</v>
      </c>
      <c r="B41" s="1">
        <f>B40+18.61+13.25+1.12</f>
        <v>220.11900000000003</v>
      </c>
      <c r="C41" s="17">
        <f t="shared" si="0"/>
        <v>559.10226</v>
      </c>
      <c r="D41" s="1">
        <v>3.6150000000000002</v>
      </c>
      <c r="E41" s="11">
        <f t="shared" si="1"/>
        <v>9.1821000000000002</v>
      </c>
    </row>
    <row r="42" spans="1:5" x14ac:dyDescent="0.2">
      <c r="A42" s="10">
        <v>36</v>
      </c>
      <c r="B42" s="1">
        <v>220.119</v>
      </c>
      <c r="C42" s="17">
        <f t="shared" si="0"/>
        <v>559.10226</v>
      </c>
      <c r="D42" s="1">
        <v>5</v>
      </c>
      <c r="E42" s="11">
        <f t="shared" si="1"/>
        <v>12.7</v>
      </c>
    </row>
    <row r="43" spans="1:5" x14ac:dyDescent="0.2">
      <c r="A43" s="10">
        <v>37</v>
      </c>
      <c r="B43" s="1">
        <f>B42+4</f>
        <v>224.119</v>
      </c>
      <c r="C43" s="17">
        <f t="shared" si="0"/>
        <v>569.26225999999997</v>
      </c>
      <c r="D43" s="1">
        <v>5</v>
      </c>
      <c r="E43" s="11">
        <f t="shared" si="1"/>
        <v>12.7</v>
      </c>
    </row>
    <row r="44" spans="1:5" x14ac:dyDescent="0.2">
      <c r="A44" s="10">
        <v>38</v>
      </c>
      <c r="B44" s="1">
        <v>224.119</v>
      </c>
      <c r="C44" s="17">
        <f t="shared" si="0"/>
        <v>569.26225999999997</v>
      </c>
      <c r="D44" s="1">
        <f>9.5/2</f>
        <v>4.75</v>
      </c>
      <c r="E44" s="11">
        <f t="shared" si="1"/>
        <v>12.065</v>
      </c>
    </row>
    <row r="45" spans="1:5" x14ac:dyDescent="0.2">
      <c r="A45" s="10">
        <v>39</v>
      </c>
      <c r="B45" s="1">
        <f>B44+18.3</f>
        <v>242.41900000000001</v>
      </c>
      <c r="C45" s="17">
        <f t="shared" si="0"/>
        <v>615.74426000000005</v>
      </c>
      <c r="D45" s="1">
        <v>4.75</v>
      </c>
      <c r="E45" s="11">
        <f t="shared" si="1"/>
        <v>12.065</v>
      </c>
    </row>
    <row r="46" spans="1:5" x14ac:dyDescent="0.2">
      <c r="A46" s="10">
        <v>40</v>
      </c>
      <c r="B46" s="1">
        <v>242.41900000000001</v>
      </c>
      <c r="C46" s="17">
        <f t="shared" si="0"/>
        <v>615.74426000000005</v>
      </c>
      <c r="D46" s="1">
        <v>5</v>
      </c>
      <c r="E46" s="11">
        <f t="shared" si="1"/>
        <v>12.7</v>
      </c>
    </row>
    <row r="47" spans="1:5" x14ac:dyDescent="0.2">
      <c r="A47" s="10">
        <v>41</v>
      </c>
      <c r="B47" s="1">
        <f>B46+4</f>
        <v>246.41900000000001</v>
      </c>
      <c r="C47" s="17">
        <f t="shared" si="0"/>
        <v>625.90426000000002</v>
      </c>
      <c r="D47" s="1">
        <v>5</v>
      </c>
      <c r="E47" s="11">
        <f t="shared" si="1"/>
        <v>12.7</v>
      </c>
    </row>
    <row r="48" spans="1:5" x14ac:dyDescent="0.2">
      <c r="A48" s="10">
        <v>42</v>
      </c>
      <c r="B48" s="1">
        <f>B47+5</f>
        <v>251.41900000000001</v>
      </c>
      <c r="C48" s="17">
        <f t="shared" si="0"/>
        <v>638.60425999999995</v>
      </c>
      <c r="D48" s="1">
        <f>4.03/2</f>
        <v>2.0150000000000001</v>
      </c>
      <c r="E48" s="11">
        <f t="shared" si="1"/>
        <v>5.1181000000000001</v>
      </c>
    </row>
    <row r="49" spans="1:5" x14ac:dyDescent="0.2">
      <c r="A49" s="10">
        <v>43</v>
      </c>
      <c r="B49" s="1">
        <v>251.41900000000001</v>
      </c>
      <c r="C49" s="17">
        <f t="shared" si="0"/>
        <v>638.60425999999995</v>
      </c>
      <c r="D49" s="1">
        <f>2.15/2</f>
        <v>1.075</v>
      </c>
      <c r="E49" s="11">
        <f t="shared" si="1"/>
        <v>2.7305000000000001</v>
      </c>
    </row>
    <row r="50" spans="1:5" x14ac:dyDescent="0.2">
      <c r="A50" s="10">
        <v>44</v>
      </c>
      <c r="B50" s="1">
        <f>B49+1.25</f>
        <v>252.66900000000001</v>
      </c>
      <c r="C50" s="17">
        <f>CONVERT(B50,"in","m")*100</f>
        <v>641.77926000000002</v>
      </c>
      <c r="D50" s="1">
        <v>1.075</v>
      </c>
      <c r="E50" s="11">
        <f t="shared" si="1"/>
        <v>2.7305000000000001</v>
      </c>
    </row>
    <row r="51" spans="1:5" x14ac:dyDescent="0.2">
      <c r="A51" s="10">
        <v>45</v>
      </c>
      <c r="B51" s="1">
        <v>252.66900000000001</v>
      </c>
      <c r="C51" s="17">
        <f t="shared" si="0"/>
        <v>641.77926000000002</v>
      </c>
      <c r="D51" s="1">
        <f>13.25/2</f>
        <v>6.625</v>
      </c>
      <c r="E51" s="11">
        <f t="shared" si="1"/>
        <v>16.827500000000001</v>
      </c>
    </row>
    <row r="52" spans="1:5" x14ac:dyDescent="0.2">
      <c r="A52" s="10">
        <v>46</v>
      </c>
      <c r="B52" s="1">
        <v>253.15</v>
      </c>
      <c r="C52" s="17">
        <f t="shared" si="0"/>
        <v>643.00099999999998</v>
      </c>
      <c r="D52" s="1">
        <v>6.625</v>
      </c>
      <c r="E52" s="11">
        <f t="shared" si="1"/>
        <v>16.827500000000001</v>
      </c>
    </row>
    <row r="53" spans="1:5" x14ac:dyDescent="0.2">
      <c r="A53" s="10">
        <v>47</v>
      </c>
      <c r="B53" s="1">
        <v>253.15</v>
      </c>
      <c r="C53" s="17">
        <f t="shared" si="0"/>
        <v>643.00099999999998</v>
      </c>
      <c r="D53" s="1">
        <f>18.88/2</f>
        <v>9.44</v>
      </c>
      <c r="E53" s="11">
        <f t="shared" si="1"/>
        <v>23.977599999999999</v>
      </c>
    </row>
    <row r="54" spans="1:5" x14ac:dyDescent="0.2">
      <c r="A54" s="10">
        <v>48</v>
      </c>
      <c r="B54" s="1">
        <v>308.14999999999998</v>
      </c>
      <c r="C54" s="17">
        <f t="shared" si="0"/>
        <v>782.70099999999991</v>
      </c>
      <c r="D54" s="1">
        <v>9.44</v>
      </c>
      <c r="E54" s="11">
        <f t="shared" si="1"/>
        <v>23.977599999999999</v>
      </c>
    </row>
    <row r="55" spans="1:5" x14ac:dyDescent="0.2">
      <c r="A55" s="10">
        <v>49</v>
      </c>
      <c r="B55" s="1">
        <v>308.14999999999998</v>
      </c>
      <c r="C55" s="17">
        <f t="shared" si="0"/>
        <v>782.70099999999991</v>
      </c>
      <c r="D55" s="1">
        <v>-9.44</v>
      </c>
      <c r="E55" s="11">
        <f t="shared" si="1"/>
        <v>-23.977599999999999</v>
      </c>
    </row>
    <row r="56" spans="1:5" x14ac:dyDescent="0.2">
      <c r="A56" s="10">
        <v>50</v>
      </c>
      <c r="B56" s="1">
        <v>253.15</v>
      </c>
      <c r="C56" s="17">
        <f t="shared" si="0"/>
        <v>643.00099999999998</v>
      </c>
      <c r="D56" s="1">
        <v>-9.44</v>
      </c>
      <c r="E56" s="11">
        <f t="shared" si="1"/>
        <v>-23.977599999999999</v>
      </c>
    </row>
    <row r="57" spans="1:5" x14ac:dyDescent="0.2">
      <c r="A57" s="10">
        <v>51</v>
      </c>
      <c r="B57" s="1">
        <v>253.15</v>
      </c>
      <c r="C57" s="17">
        <f t="shared" si="0"/>
        <v>643.00099999999998</v>
      </c>
      <c r="D57" s="1">
        <v>-6.625</v>
      </c>
      <c r="E57" s="11">
        <f t="shared" si="1"/>
        <v>-16.827500000000001</v>
      </c>
    </row>
    <row r="58" spans="1:5" x14ac:dyDescent="0.2">
      <c r="A58" s="10">
        <v>52</v>
      </c>
      <c r="B58" s="1">
        <v>252.66900000000001</v>
      </c>
      <c r="C58" s="17">
        <f t="shared" si="0"/>
        <v>641.77926000000002</v>
      </c>
      <c r="D58" s="1">
        <v>-6.625</v>
      </c>
      <c r="E58" s="11">
        <f t="shared" si="1"/>
        <v>-16.827500000000001</v>
      </c>
    </row>
    <row r="59" spans="1:5" x14ac:dyDescent="0.2">
      <c r="A59" s="10">
        <v>53</v>
      </c>
      <c r="B59" s="1">
        <f>B58+1.25</f>
        <v>253.91900000000001</v>
      </c>
      <c r="C59" s="17">
        <f t="shared" si="0"/>
        <v>644.95425999999998</v>
      </c>
      <c r="D59" s="1">
        <v>-1.075</v>
      </c>
      <c r="E59" s="11">
        <f t="shared" si="1"/>
        <v>-2.7305000000000001</v>
      </c>
    </row>
    <row r="60" spans="1:5" x14ac:dyDescent="0.2">
      <c r="A60" s="10">
        <v>54</v>
      </c>
      <c r="B60" s="1">
        <v>251.41900000000001</v>
      </c>
      <c r="C60" s="17">
        <f t="shared" si="0"/>
        <v>638.60425999999995</v>
      </c>
      <c r="D60" s="1">
        <v>-1.075</v>
      </c>
      <c r="E60" s="11">
        <f t="shared" si="1"/>
        <v>-2.7305000000000001</v>
      </c>
    </row>
    <row r="61" spans="1:5" x14ac:dyDescent="0.2">
      <c r="A61" s="10">
        <v>55</v>
      </c>
      <c r="B61" s="1">
        <v>251.41900000000001</v>
      </c>
      <c r="C61" s="17">
        <f t="shared" si="0"/>
        <v>638.60425999999995</v>
      </c>
      <c r="D61" s="1">
        <v>-2.0150000000000001</v>
      </c>
      <c r="E61" s="11">
        <f t="shared" si="1"/>
        <v>-5.1181000000000001</v>
      </c>
    </row>
    <row r="62" spans="1:5" x14ac:dyDescent="0.2">
      <c r="A62" s="10">
        <v>56</v>
      </c>
      <c r="B62" s="1">
        <v>246.41900000000001</v>
      </c>
      <c r="C62" s="17">
        <f t="shared" si="0"/>
        <v>625.90426000000002</v>
      </c>
      <c r="D62" s="1">
        <v>-5</v>
      </c>
      <c r="E62" s="11">
        <f t="shared" si="1"/>
        <v>-12.7</v>
      </c>
    </row>
    <row r="63" spans="1:5" x14ac:dyDescent="0.2">
      <c r="A63" s="10">
        <v>57</v>
      </c>
      <c r="B63" s="1">
        <v>242.41900000000001</v>
      </c>
      <c r="C63" s="17">
        <f t="shared" si="0"/>
        <v>615.74426000000005</v>
      </c>
      <c r="D63" s="1">
        <v>-5</v>
      </c>
      <c r="E63" s="11">
        <f t="shared" si="1"/>
        <v>-12.7</v>
      </c>
    </row>
    <row r="64" spans="1:5" x14ac:dyDescent="0.2">
      <c r="A64" s="10">
        <v>58</v>
      </c>
      <c r="B64" s="1">
        <v>242.41900000000001</v>
      </c>
      <c r="C64" s="17">
        <f t="shared" si="0"/>
        <v>615.74426000000005</v>
      </c>
      <c r="D64" s="1">
        <v>-4.75</v>
      </c>
      <c r="E64" s="11">
        <f t="shared" si="1"/>
        <v>-12.065</v>
      </c>
    </row>
    <row r="65" spans="1:5" x14ac:dyDescent="0.2">
      <c r="A65" s="10">
        <v>59</v>
      </c>
      <c r="B65" s="1">
        <v>224.119</v>
      </c>
      <c r="C65" s="17">
        <f t="shared" si="0"/>
        <v>569.26225999999997</v>
      </c>
      <c r="D65" s="1">
        <v>-4.75</v>
      </c>
      <c r="E65" s="11">
        <f t="shared" si="1"/>
        <v>-12.065</v>
      </c>
    </row>
    <row r="66" spans="1:5" x14ac:dyDescent="0.2">
      <c r="A66" s="10">
        <v>60</v>
      </c>
      <c r="B66" s="1">
        <v>224.119</v>
      </c>
      <c r="C66" s="17">
        <f>CONVERT(B66,"in","m")*100</f>
        <v>569.26225999999997</v>
      </c>
      <c r="D66" s="1">
        <v>-5</v>
      </c>
      <c r="E66" s="11">
        <f t="shared" si="1"/>
        <v>-12.7</v>
      </c>
    </row>
    <row r="67" spans="1:5" x14ac:dyDescent="0.2">
      <c r="A67" s="10">
        <v>61</v>
      </c>
      <c r="B67" s="1">
        <v>220.119</v>
      </c>
      <c r="C67" s="17">
        <f t="shared" si="0"/>
        <v>559.10226</v>
      </c>
      <c r="D67" s="1">
        <v>-5</v>
      </c>
      <c r="E67" s="11">
        <f t="shared" si="1"/>
        <v>-12.7</v>
      </c>
    </row>
    <row r="68" spans="1:5" x14ac:dyDescent="0.2">
      <c r="A68" s="10">
        <v>62</v>
      </c>
      <c r="B68" s="1">
        <v>220.119</v>
      </c>
      <c r="C68" s="17">
        <f t="shared" si="0"/>
        <v>559.10226</v>
      </c>
      <c r="D68" s="1">
        <v>-3.6150000000000002</v>
      </c>
      <c r="E68" s="11">
        <f t="shared" si="1"/>
        <v>-9.1821000000000002</v>
      </c>
    </row>
    <row r="69" spans="1:5" x14ac:dyDescent="0.2">
      <c r="A69" s="10">
        <v>63</v>
      </c>
      <c r="B69" s="1">
        <v>187.13900000000001</v>
      </c>
      <c r="C69" s="17">
        <f t="shared" ref="C69:C83" si="2">CONVERT(B69,"in","m")*100</f>
        <v>475.33305999999999</v>
      </c>
      <c r="D69" s="1">
        <v>-3.6150000000000002</v>
      </c>
      <c r="E69" s="11">
        <f t="shared" ref="E69:E80" si="3">CONVERT(D69,"in","m")*100</f>
        <v>-9.1821000000000002</v>
      </c>
    </row>
    <row r="70" spans="1:5" x14ac:dyDescent="0.2">
      <c r="A70" s="10">
        <v>64</v>
      </c>
      <c r="B70" s="1">
        <v>187.13900000000001</v>
      </c>
      <c r="C70" s="17">
        <f t="shared" si="2"/>
        <v>475.33305999999999</v>
      </c>
      <c r="D70" s="1">
        <v>-1.075</v>
      </c>
      <c r="E70" s="11">
        <f t="shared" si="3"/>
        <v>-2.7305000000000001</v>
      </c>
    </row>
    <row r="71" spans="1:5" x14ac:dyDescent="0.2">
      <c r="A71" s="10">
        <v>65</v>
      </c>
      <c r="B71" s="1">
        <v>156.239</v>
      </c>
      <c r="C71" s="17">
        <f t="shared" si="2"/>
        <v>396.84706</v>
      </c>
      <c r="D71" s="1">
        <v>-1.075</v>
      </c>
      <c r="E71" s="11">
        <f t="shared" si="3"/>
        <v>-2.7305000000000001</v>
      </c>
    </row>
    <row r="72" spans="1:5" x14ac:dyDescent="0.2">
      <c r="A72" s="10">
        <v>66</v>
      </c>
      <c r="B72" s="1">
        <v>156.239</v>
      </c>
      <c r="C72" s="17">
        <f t="shared" si="2"/>
        <v>396.84706</v>
      </c>
      <c r="D72" s="1">
        <v>-2.65</v>
      </c>
      <c r="E72" s="11">
        <f t="shared" si="3"/>
        <v>-6.7309999999999999</v>
      </c>
    </row>
    <row r="73" spans="1:5" x14ac:dyDescent="0.2">
      <c r="A73" s="10">
        <v>67</v>
      </c>
      <c r="B73" s="1">
        <v>142.989</v>
      </c>
      <c r="C73" s="17">
        <f t="shared" si="2"/>
        <v>363.19205999999997</v>
      </c>
      <c r="D73" s="1">
        <v>-2.65</v>
      </c>
      <c r="E73" s="11">
        <f t="shared" si="3"/>
        <v>-6.7309999999999999</v>
      </c>
    </row>
    <row r="74" spans="1:5" x14ac:dyDescent="0.2">
      <c r="A74" s="10">
        <v>68</v>
      </c>
      <c r="B74" s="1">
        <v>142.989</v>
      </c>
      <c r="C74" s="17">
        <f t="shared" si="2"/>
        <v>363.19205999999997</v>
      </c>
      <c r="D74" s="1">
        <v>-4.4749999999999996</v>
      </c>
      <c r="E74" s="11">
        <f t="shared" si="3"/>
        <v>-11.3665</v>
      </c>
    </row>
    <row r="75" spans="1:5" x14ac:dyDescent="0.2">
      <c r="A75" s="10">
        <v>69</v>
      </c>
      <c r="B75" s="1">
        <v>122.989</v>
      </c>
      <c r="C75" s="17">
        <f t="shared" si="2"/>
        <v>312.39206000000001</v>
      </c>
      <c r="D75" s="1">
        <v>-4.4749999999999996</v>
      </c>
      <c r="E75" s="11">
        <f t="shared" si="3"/>
        <v>-11.3665</v>
      </c>
    </row>
    <row r="76" spans="1:5" x14ac:dyDescent="0.2">
      <c r="A76" s="10">
        <v>70</v>
      </c>
      <c r="B76" s="1">
        <v>122.989</v>
      </c>
      <c r="C76" s="17">
        <f t="shared" si="2"/>
        <v>312.39206000000001</v>
      </c>
      <c r="D76" s="1">
        <v>-2.39</v>
      </c>
      <c r="E76" s="11">
        <f t="shared" si="3"/>
        <v>-6.0706000000000007</v>
      </c>
    </row>
    <row r="77" spans="1:5" x14ac:dyDescent="0.2">
      <c r="A77" s="10">
        <v>71</v>
      </c>
      <c r="B77" s="1">
        <v>116.929</v>
      </c>
      <c r="C77" s="17">
        <f t="shared" si="2"/>
        <v>296.99966000000001</v>
      </c>
      <c r="D77" s="1">
        <v>-2.39</v>
      </c>
      <c r="E77" s="11">
        <f t="shared" si="3"/>
        <v>-6.0706000000000007</v>
      </c>
    </row>
    <row r="78" spans="1:5" x14ac:dyDescent="0.2">
      <c r="A78" s="10">
        <v>72</v>
      </c>
      <c r="B78" s="1">
        <v>116.929</v>
      </c>
      <c r="C78" s="17">
        <f t="shared" si="2"/>
        <v>296.99966000000001</v>
      </c>
      <c r="D78" s="1">
        <v>-5.75</v>
      </c>
      <c r="E78" s="11">
        <f t="shared" si="3"/>
        <v>-14.605</v>
      </c>
    </row>
    <row r="79" spans="1:5" x14ac:dyDescent="0.2">
      <c r="A79" s="10">
        <v>73</v>
      </c>
      <c r="B79" s="1">
        <v>107.449</v>
      </c>
      <c r="C79" s="17">
        <f t="shared" si="2"/>
        <v>272.92045999999999</v>
      </c>
      <c r="D79" s="1">
        <v>-5.75</v>
      </c>
      <c r="E79" s="11">
        <f t="shared" si="3"/>
        <v>-14.605</v>
      </c>
    </row>
    <row r="80" spans="1:5" x14ac:dyDescent="0.2">
      <c r="A80" s="10">
        <v>74</v>
      </c>
      <c r="B80" s="1">
        <v>107.449</v>
      </c>
      <c r="C80" s="17">
        <f t="shared" si="2"/>
        <v>272.92045999999999</v>
      </c>
      <c r="D80" s="12">
        <v>-1.9850000000000001</v>
      </c>
      <c r="E80" s="11">
        <f t="shared" si="3"/>
        <v>-5.0419</v>
      </c>
    </row>
    <row r="81" spans="1:5" x14ac:dyDescent="0.2">
      <c r="A81" s="10">
        <v>75</v>
      </c>
      <c r="B81" s="1">
        <v>99.549000000000007</v>
      </c>
      <c r="C81" s="17">
        <f t="shared" si="2"/>
        <v>252.85446000000002</v>
      </c>
      <c r="D81" s="12">
        <v>-1.9850000000000001</v>
      </c>
      <c r="E81" s="11">
        <f>CONVERT(D81,"in","m")*100</f>
        <v>-5.0419</v>
      </c>
    </row>
    <row r="82" spans="1:5" x14ac:dyDescent="0.2">
      <c r="A82" s="10">
        <v>76</v>
      </c>
      <c r="B82" s="1">
        <v>99.549000000000007</v>
      </c>
      <c r="C82" s="17">
        <f t="shared" si="2"/>
        <v>252.85446000000002</v>
      </c>
      <c r="D82" s="12">
        <v>-4.4749999999999996</v>
      </c>
      <c r="E82" s="11">
        <f t="shared" ref="E82:E106" si="4">CONVERT(D82,"in","m")*100</f>
        <v>-11.3665</v>
      </c>
    </row>
    <row r="83" spans="1:5" x14ac:dyDescent="0.2">
      <c r="A83" s="10">
        <v>77</v>
      </c>
      <c r="B83" s="1">
        <v>79.549000000000007</v>
      </c>
      <c r="C83" s="17">
        <f t="shared" si="2"/>
        <v>202.05446000000001</v>
      </c>
      <c r="D83" s="12">
        <v>-4.4749999999999996</v>
      </c>
      <c r="E83" s="11">
        <f t="shared" si="4"/>
        <v>-11.3665</v>
      </c>
    </row>
    <row r="84" spans="1:5" x14ac:dyDescent="0.2">
      <c r="A84" s="10">
        <v>78</v>
      </c>
      <c r="B84" s="1">
        <v>79.549000000000007</v>
      </c>
      <c r="C84" s="17">
        <f>CONVERT(B84,"in","m")*100</f>
        <v>202.05446000000001</v>
      </c>
      <c r="D84" s="12">
        <v>-3.625</v>
      </c>
      <c r="E84" s="11">
        <f t="shared" si="4"/>
        <v>-9.2074999999999996</v>
      </c>
    </row>
    <row r="85" spans="1:5" x14ac:dyDescent="0.2">
      <c r="A85" s="10">
        <v>79</v>
      </c>
      <c r="B85" s="1">
        <v>33.838999999999999</v>
      </c>
      <c r="C85" s="17">
        <f t="shared" ref="C85:C106" si="5">CONVERT(B85,"in","m")*100</f>
        <v>85.951059999999998</v>
      </c>
      <c r="D85" s="12">
        <v>-3.625</v>
      </c>
      <c r="E85" s="11">
        <f t="shared" si="4"/>
        <v>-9.2074999999999996</v>
      </c>
    </row>
    <row r="86" spans="1:5" x14ac:dyDescent="0.2">
      <c r="A86" s="10">
        <v>80</v>
      </c>
      <c r="B86" s="1">
        <v>33.838999999999999</v>
      </c>
      <c r="C86" s="17">
        <f t="shared" si="5"/>
        <v>85.951059999999998</v>
      </c>
      <c r="D86" s="15">
        <v>-2.09</v>
      </c>
      <c r="E86" s="11">
        <f t="shared" si="4"/>
        <v>-5.3085999999999993</v>
      </c>
    </row>
    <row r="87" spans="1:5" x14ac:dyDescent="0.2">
      <c r="A87" s="10">
        <v>81</v>
      </c>
      <c r="B87" s="1">
        <v>32.588999999999999</v>
      </c>
      <c r="C87" s="17">
        <f t="shared" si="5"/>
        <v>82.776060000000001</v>
      </c>
      <c r="D87" s="15">
        <v>-2.09</v>
      </c>
      <c r="E87" s="11">
        <f t="shared" si="4"/>
        <v>-5.3085999999999993</v>
      </c>
    </row>
    <row r="88" spans="1:5" x14ac:dyDescent="0.2">
      <c r="A88" s="10">
        <v>82</v>
      </c>
      <c r="B88" s="1">
        <v>32.588999999999999</v>
      </c>
      <c r="C88" s="17">
        <f t="shared" si="5"/>
        <v>82.776060000000001</v>
      </c>
      <c r="D88" s="12">
        <v>-9.49</v>
      </c>
      <c r="E88" s="11">
        <f t="shared" si="4"/>
        <v>-24.104600000000001</v>
      </c>
    </row>
    <row r="89" spans="1:5" x14ac:dyDescent="0.2">
      <c r="A89" s="10">
        <v>83</v>
      </c>
      <c r="B89" s="1">
        <v>19.689</v>
      </c>
      <c r="C89" s="17">
        <f t="shared" si="5"/>
        <v>50.010060000000003</v>
      </c>
      <c r="D89" s="12">
        <v>-9.49</v>
      </c>
      <c r="E89" s="11">
        <f t="shared" si="4"/>
        <v>-24.104600000000001</v>
      </c>
    </row>
    <row r="90" spans="1:5" x14ac:dyDescent="0.2">
      <c r="A90" s="10">
        <v>84</v>
      </c>
      <c r="B90" s="1">
        <v>19.689</v>
      </c>
      <c r="C90" s="17">
        <f t="shared" si="5"/>
        <v>50.010060000000003</v>
      </c>
      <c r="D90" s="16">
        <v>-2.09</v>
      </c>
      <c r="E90" s="11">
        <f t="shared" si="4"/>
        <v>-5.3085999999999993</v>
      </c>
    </row>
    <row r="91" spans="1:5" x14ac:dyDescent="0.2">
      <c r="A91" s="10">
        <v>85</v>
      </c>
      <c r="B91" s="1">
        <v>8.8190000000000008</v>
      </c>
      <c r="C91" s="17">
        <f t="shared" si="5"/>
        <v>22.400259999999999</v>
      </c>
      <c r="D91" s="14">
        <v>-2.4500000000000002</v>
      </c>
      <c r="E91" s="11">
        <f t="shared" si="4"/>
        <v>-6.2229999999999999</v>
      </c>
    </row>
    <row r="92" spans="1:5" x14ac:dyDescent="0.2">
      <c r="A92" s="10">
        <v>86</v>
      </c>
      <c r="B92" s="1">
        <v>9.1560000000000006</v>
      </c>
      <c r="C92" s="17">
        <f t="shared" si="5"/>
        <v>23.256240000000002</v>
      </c>
      <c r="D92" s="13">
        <v>-2.4849999999999999</v>
      </c>
      <c r="E92" s="11">
        <f t="shared" si="4"/>
        <v>-6.3118999999999996</v>
      </c>
    </row>
    <row r="93" spans="1:5" x14ac:dyDescent="0.2">
      <c r="A93" s="10">
        <v>87</v>
      </c>
      <c r="B93" s="1">
        <v>-8.484</v>
      </c>
      <c r="C93" s="17">
        <f t="shared" si="5"/>
        <v>-21.54936</v>
      </c>
      <c r="D93" s="13">
        <v>-2.4849999999999999</v>
      </c>
      <c r="E93" s="11">
        <f t="shared" si="4"/>
        <v>-6.3118999999999996</v>
      </c>
    </row>
    <row r="94" spans="1:5" x14ac:dyDescent="0.2">
      <c r="A94" s="10">
        <v>88</v>
      </c>
      <c r="B94" s="1">
        <v>-8.484</v>
      </c>
      <c r="C94" s="17">
        <f t="shared" si="5"/>
        <v>-21.54936</v>
      </c>
      <c r="D94" s="14">
        <v>-3.96</v>
      </c>
      <c r="E94" s="11">
        <f t="shared" si="4"/>
        <v>-10.058400000000001</v>
      </c>
    </row>
    <row r="95" spans="1:5" x14ac:dyDescent="0.2">
      <c r="A95" s="10">
        <v>89</v>
      </c>
      <c r="B95" s="1">
        <v>-16.393999999999998</v>
      </c>
      <c r="C95" s="17">
        <f t="shared" si="5"/>
        <v>-41.640759999999993</v>
      </c>
      <c r="D95" s="14">
        <v>-3.96</v>
      </c>
      <c r="E95" s="11">
        <f t="shared" si="4"/>
        <v>-10.058400000000001</v>
      </c>
    </row>
    <row r="96" spans="1:5" x14ac:dyDescent="0.2">
      <c r="A96" s="10">
        <v>90</v>
      </c>
      <c r="B96" s="1">
        <v>-16.393999999999998</v>
      </c>
      <c r="C96" s="17">
        <f t="shared" si="5"/>
        <v>-41.640759999999993</v>
      </c>
      <c r="D96" s="13">
        <v>-6.625</v>
      </c>
      <c r="E96" s="11">
        <f t="shared" si="4"/>
        <v>-16.827500000000001</v>
      </c>
    </row>
    <row r="97" spans="1:5" x14ac:dyDescent="0.2">
      <c r="A97" s="10">
        <v>91</v>
      </c>
      <c r="B97" s="1">
        <v>-17.513999999999999</v>
      </c>
      <c r="C97" s="17">
        <f t="shared" si="5"/>
        <v>-44.48556</v>
      </c>
      <c r="D97" s="13">
        <v>-6.625</v>
      </c>
      <c r="E97" s="11">
        <f t="shared" si="4"/>
        <v>-16.827500000000001</v>
      </c>
    </row>
    <row r="98" spans="1:5" x14ac:dyDescent="0.2">
      <c r="A98" s="10">
        <v>92</v>
      </c>
      <c r="B98" s="1">
        <v>-17.513999999999999</v>
      </c>
      <c r="C98" s="17">
        <f t="shared" si="5"/>
        <v>-44.48556</v>
      </c>
      <c r="D98" s="13">
        <v>-9.4749999999999996</v>
      </c>
      <c r="E98" s="11">
        <f t="shared" si="4"/>
        <v>-24.066499999999998</v>
      </c>
    </row>
    <row r="99" spans="1:5" x14ac:dyDescent="0.2">
      <c r="A99" s="10">
        <v>93</v>
      </c>
      <c r="B99" s="1">
        <v>-30.414000000000001</v>
      </c>
      <c r="C99" s="17">
        <f t="shared" si="5"/>
        <v>-77.251559999999998</v>
      </c>
      <c r="D99" s="13">
        <v>-9.4749999999999996</v>
      </c>
      <c r="E99" s="11">
        <f t="shared" si="4"/>
        <v>-24.066499999999998</v>
      </c>
    </row>
    <row r="100" spans="1:5" x14ac:dyDescent="0.2">
      <c r="A100" s="10">
        <v>94</v>
      </c>
      <c r="B100" s="1">
        <v>-30.414000000000001</v>
      </c>
      <c r="C100" s="17">
        <f t="shared" si="5"/>
        <v>-77.251559999999998</v>
      </c>
      <c r="D100" s="13">
        <v>-3.625</v>
      </c>
      <c r="E100" s="11">
        <f t="shared" si="4"/>
        <v>-9.2074999999999996</v>
      </c>
    </row>
    <row r="101" spans="1:5" x14ac:dyDescent="0.2">
      <c r="A101" s="10">
        <v>95</v>
      </c>
      <c r="B101" s="1">
        <v>-59.518999999999998</v>
      </c>
      <c r="C101" s="17">
        <f t="shared" si="5"/>
        <v>-151.17826000000002</v>
      </c>
      <c r="D101" s="13">
        <v>-3.625</v>
      </c>
      <c r="E101" s="11">
        <f t="shared" si="4"/>
        <v>-9.2074999999999996</v>
      </c>
    </row>
    <row r="102" spans="1:5" x14ac:dyDescent="0.2">
      <c r="A102" s="10">
        <v>96</v>
      </c>
      <c r="B102" s="1">
        <v>-59.518999999999998</v>
      </c>
      <c r="C102" s="17">
        <f t="shared" si="5"/>
        <v>-151.17826000000002</v>
      </c>
      <c r="D102" s="16">
        <v>-3.25</v>
      </c>
      <c r="E102" s="11">
        <f t="shared" si="4"/>
        <v>-8.254999999999999</v>
      </c>
    </row>
    <row r="103" spans="1:5" x14ac:dyDescent="0.2">
      <c r="A103" s="10">
        <v>97</v>
      </c>
      <c r="B103" s="1">
        <v>-72.768000000000001</v>
      </c>
      <c r="C103" s="17">
        <f t="shared" si="5"/>
        <v>-184.83072000000001</v>
      </c>
      <c r="D103" s="16">
        <v>-3.25</v>
      </c>
      <c r="E103" s="11">
        <f t="shared" si="4"/>
        <v>-8.254999999999999</v>
      </c>
    </row>
    <row r="104" spans="1:5" x14ac:dyDescent="0.2">
      <c r="A104" s="10">
        <v>98</v>
      </c>
      <c r="B104" s="1">
        <v>-74.977999999999994</v>
      </c>
      <c r="C104" s="17">
        <f t="shared" si="5"/>
        <v>-190.44412</v>
      </c>
      <c r="D104" s="16">
        <v>-15.75</v>
      </c>
      <c r="E104" s="11">
        <f t="shared" si="4"/>
        <v>-40.005000000000003</v>
      </c>
    </row>
    <row r="105" spans="1:5" x14ac:dyDescent="0.2">
      <c r="A105" s="10">
        <v>99</v>
      </c>
      <c r="B105" s="1">
        <v>-123.22799999999999</v>
      </c>
      <c r="C105" s="17">
        <f t="shared" si="5"/>
        <v>-312.99912</v>
      </c>
      <c r="D105" s="16">
        <v>-15.75</v>
      </c>
      <c r="E105" s="11">
        <f t="shared" si="4"/>
        <v>-40.005000000000003</v>
      </c>
    </row>
    <row r="106" spans="1:5" x14ac:dyDescent="0.2">
      <c r="A106" s="10">
        <v>100</v>
      </c>
      <c r="B106" s="1">
        <v>-123.22799999999999</v>
      </c>
      <c r="C106" s="17">
        <f t="shared" si="5"/>
        <v>-312.99912</v>
      </c>
      <c r="D106" s="16">
        <v>15.75</v>
      </c>
      <c r="E106" s="11">
        <f t="shared" si="4"/>
        <v>40.005000000000003</v>
      </c>
    </row>
  </sheetData>
  <mergeCells count="6">
    <mergeCell ref="J2:K2"/>
    <mergeCell ref="B2:C2"/>
    <mergeCell ref="D2:E2"/>
    <mergeCell ref="A2:A3"/>
    <mergeCell ref="A1:E1"/>
    <mergeCell ref="G2:H2"/>
  </mergeCells>
  <pageMargins left="0.7" right="0.7" top="0.75" bottom="0.75" header="0.3" footer="0.3"/>
  <ignoredErrors>
    <ignoredError sqref="D8 D10 D12 D16 D14 D18:D20 D22 D24 D26 D28 D30 D32 D36 D38 D40 D44 D48:D49 D51 D53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Unterberg, Ezekial</dc:creator>
  <cp:lastModifiedBy>Unterberg, Ezekial</cp:lastModifiedBy>
  <dcterms:created xsi:type="dcterms:W3CDTF">2026-04-07T00:19:11Z</dcterms:created>
  <dcterms:modified xsi:type="dcterms:W3CDTF">2026-04-07T13:35:00Z</dcterms:modified>
</cp:coreProperties>
</file>