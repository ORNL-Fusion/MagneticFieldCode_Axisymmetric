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gdx_ornl_gov/Documents/MATLAB_Programming/Proto_lite/B_field_Routine_test/My-B_flux/"/>
    </mc:Choice>
  </mc:AlternateContent>
  <xr:revisionPtr revIDLastSave="21" documentId="8_{8DF29F05-89EA-4DB1-BB18-F84E455E896A}" xr6:coauthVersionLast="47" xr6:coauthVersionMax="47" xr10:uidLastSave="{3BDD511A-E229-4849-8D6C-B1B365C343CF}"/>
  <bookViews>
    <workbookView xWindow="-30750" yWindow="1440" windowWidth="30360" windowHeight="12555" xr2:uid="{4D52F85A-DE3D-49DD-BFEB-E61EBF7F1FA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8" i="2"/>
  <c r="D7" i="2"/>
  <c r="D6" i="2"/>
  <c r="D5" i="2"/>
  <c r="D4" i="2"/>
  <c r="D3" i="2"/>
  <c r="D2" i="2"/>
  <c r="A3" i="2"/>
  <c r="A4" i="2" s="1"/>
  <c r="A5" i="2" s="1"/>
  <c r="A6" i="2" s="1"/>
  <c r="A7" i="2" s="1"/>
  <c r="A8" i="2" s="1"/>
  <c r="A9" i="2" s="1"/>
</calcChain>
</file>

<file path=xl/sharedStrings.xml><?xml version="1.0" encoding="utf-8"?>
<sst xmlns="http://schemas.openxmlformats.org/spreadsheetml/2006/main" count="19" uniqueCount="14">
  <si>
    <t>coil_index</t>
  </si>
  <si>
    <t>ps</t>
  </si>
  <si>
    <t>datum</t>
  </si>
  <si>
    <t>z</t>
  </si>
  <si>
    <t>dz</t>
  </si>
  <si>
    <t>r_inner</t>
  </si>
  <si>
    <t>r_outer</t>
  </si>
  <si>
    <t>layers_z</t>
  </si>
  <si>
    <t>layers_r</t>
  </si>
  <si>
    <t>PS1</t>
  </si>
  <si>
    <t>TR2</t>
  </si>
  <si>
    <t>Note</t>
  </si>
  <si>
    <t>Z_is_center_of_each_coil_John_10_15_2025</t>
  </si>
  <si>
    <t>TR1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</si>
</sst>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82835-36F6-4307-8A16-28DF0526D036}">
  <dimension ref="A1:L9"/>
  <sheetViews>
    <sheetView tabSelected="1" workbookViewId="0">
      <selection activeCell="B3" sqref="B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t="s">
        <v>11</v>
      </c>
    </row>
    <row r="2" spans="1:12" x14ac:dyDescent="0.25">
      <c r="A2">
        <v>1</v>
      </c>
      <c r="B2" t="s">
        <v>9</v>
      </c>
      <c r="C2">
        <v>5</v>
      </c>
      <c r="D2">
        <f>0.327025-0.1375</f>
        <v>0.189525</v>
      </c>
      <c r="E2">
        <v>0.1</v>
      </c>
      <c r="F2">
        <v>0.1221</v>
      </c>
      <c r="G2">
        <v>0.17849999999999999</v>
      </c>
      <c r="H2">
        <v>8</v>
      </c>
      <c r="I2">
        <v>5</v>
      </c>
      <c r="L2" t="s">
        <v>12</v>
      </c>
    </row>
    <row r="3" spans="1:12" x14ac:dyDescent="0.25">
      <c r="A3">
        <f>A2+1</f>
        <v>2</v>
      </c>
      <c r="B3" t="s">
        <v>13</v>
      </c>
      <c r="C3">
        <v>5</v>
      </c>
      <c r="D3">
        <f>0.657225-0.1375</f>
        <v>0.51972499999999999</v>
      </c>
      <c r="E3">
        <v>0.1</v>
      </c>
      <c r="F3">
        <v>0.1221</v>
      </c>
      <c r="G3">
        <v>0.17849999999999999</v>
      </c>
      <c r="H3">
        <v>8</v>
      </c>
      <c r="I3">
        <v>5</v>
      </c>
    </row>
    <row r="4" spans="1:12" x14ac:dyDescent="0.25">
      <c r="A4">
        <f t="shared" ref="A4:A9" si="0">A3+1</f>
        <v>3</v>
      </c>
      <c r="B4" t="s">
        <v>10</v>
      </c>
      <c r="C4">
        <v>5</v>
      </c>
      <c r="D4">
        <f>1.0287-0.1375</f>
        <v>0.89119999999999999</v>
      </c>
      <c r="E4">
        <v>0.1</v>
      </c>
      <c r="F4">
        <v>0.1221</v>
      </c>
      <c r="G4">
        <v>0.17849999999999999</v>
      </c>
      <c r="H4">
        <v>8</v>
      </c>
      <c r="I4">
        <v>5</v>
      </c>
    </row>
    <row r="5" spans="1:12" x14ac:dyDescent="0.25">
      <c r="A5">
        <f t="shared" si="0"/>
        <v>4</v>
      </c>
      <c r="B5" t="s">
        <v>10</v>
      </c>
      <c r="C5">
        <v>5</v>
      </c>
      <c r="D5">
        <f>1.26365-0.1375</f>
        <v>1.12615</v>
      </c>
      <c r="E5">
        <v>0.1</v>
      </c>
      <c r="F5">
        <v>0.1221</v>
      </c>
      <c r="G5">
        <v>0.17849999999999999</v>
      </c>
      <c r="H5">
        <v>8</v>
      </c>
      <c r="I5">
        <v>5</v>
      </c>
    </row>
    <row r="6" spans="1:12" x14ac:dyDescent="0.25">
      <c r="A6">
        <f t="shared" si="0"/>
        <v>5</v>
      </c>
      <c r="B6" t="s">
        <v>9</v>
      </c>
      <c r="C6">
        <v>5</v>
      </c>
      <c r="D6">
        <f>1.812925-0.1375</f>
        <v>1.6754249999999999</v>
      </c>
      <c r="E6">
        <v>0.1</v>
      </c>
      <c r="F6">
        <v>0.1221</v>
      </c>
      <c r="G6">
        <v>0.17849999999999999</v>
      </c>
      <c r="H6">
        <v>8</v>
      </c>
      <c r="I6">
        <v>5</v>
      </c>
    </row>
    <row r="7" spans="1:12" x14ac:dyDescent="0.25">
      <c r="A7">
        <f t="shared" si="0"/>
        <v>6</v>
      </c>
      <c r="B7" t="s">
        <v>9</v>
      </c>
      <c r="C7">
        <v>5</v>
      </c>
      <c r="D7">
        <f>1.978025-0.1375</f>
        <v>1.840525</v>
      </c>
      <c r="E7">
        <v>0.1</v>
      </c>
      <c r="F7">
        <v>0.1221</v>
      </c>
      <c r="G7">
        <v>0.17849999999999999</v>
      </c>
      <c r="H7">
        <v>8</v>
      </c>
      <c r="I7">
        <v>5</v>
      </c>
    </row>
    <row r="8" spans="1:12" x14ac:dyDescent="0.25">
      <c r="A8">
        <f t="shared" si="0"/>
        <v>7</v>
      </c>
      <c r="B8" t="s">
        <v>9</v>
      </c>
      <c r="C8">
        <v>5</v>
      </c>
      <c r="D8">
        <f>2.2875748-0.1375</f>
        <v>2.1500747999999996</v>
      </c>
      <c r="E8">
        <v>0.1</v>
      </c>
      <c r="F8">
        <v>0.1221</v>
      </c>
      <c r="G8">
        <v>0.17849999999999999</v>
      </c>
      <c r="H8">
        <v>8</v>
      </c>
      <c r="I8">
        <v>5</v>
      </c>
    </row>
    <row r="9" spans="1:12" x14ac:dyDescent="0.25">
      <c r="A9">
        <f t="shared" si="0"/>
        <v>8</v>
      </c>
      <c r="B9" t="s">
        <v>9</v>
      </c>
      <c r="C9">
        <v>5</v>
      </c>
      <c r="D9">
        <f>2.5828498-0.1375</f>
        <v>2.4453497999999998</v>
      </c>
      <c r="E9">
        <v>0.1</v>
      </c>
      <c r="F9">
        <v>0.1221</v>
      </c>
      <c r="G9">
        <v>0.17849999999999999</v>
      </c>
      <c r="H9">
        <v>8</v>
      </c>
      <c r="I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Dhamale, Gayatri</dc:creator>
  <cp:lastModifiedBy>Dhamale, Gayatri</cp:lastModifiedBy>
  <dcterms:created xsi:type="dcterms:W3CDTF">2025-08-03T23:30:46Z</dcterms:created>
  <dcterms:modified xsi:type="dcterms:W3CDTF">2026-02-03T18:29:55Z</dcterms:modified>
</cp:coreProperties>
</file>